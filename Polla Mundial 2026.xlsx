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00" yWindow="1060" windowWidth="34560" windowHeight="21680" tabRatio="600" firstSheet="5" activeTab="14" autoFilterDateGrouping="1"/>
  </bookViews>
  <sheets>
    <sheet name="Predicciones_Hugo" sheetId="1" state="visible" r:id="rId1"/>
    <sheet name="Bracket_Hugo" sheetId="2" state="visible" r:id="rId2"/>
    <sheet name="Playoffs_Hugo" sheetId="3" state="visible" r:id="rId3"/>
    <sheet name="Playoffs_Predicciones_Hugo" sheetId="4" state="visible" r:id="rId4"/>
    <sheet name="Predicciones_Oscar" sheetId="5" state="visible" r:id="rId5"/>
    <sheet name="Bracket_Oscar" sheetId="6" state="visible" r:id="rId6"/>
    <sheet name="Playoffs_Oscar" sheetId="7" state="visible" r:id="rId7"/>
    <sheet name="Playoffs_Predicciones_Oscar" sheetId="8" state="visible" r:id="rId8"/>
    <sheet name="Predicciones_Camilo" sheetId="9" state="visible" r:id="rId9"/>
    <sheet name="Bracket_Camilo" sheetId="10" state="visible" r:id="rId10"/>
    <sheet name="Playoffs_Camilo" sheetId="11" state="visible" r:id="rId11"/>
    <sheet name="Playoffs_Predicciones_Camilo" sheetId="12" state="visible" r:id="rId12"/>
    <sheet name="Realidad" sheetId="13" state="visible" r:id="rId13"/>
    <sheet name="Realidad Playoffs" sheetId="14" state="visible" r:id="rId14"/>
    <sheet name="Realidad Playoffs Predicciones" sheetId="15" state="visible" r:id="rId15"/>
    <sheet name="Puntajes" sheetId="16" state="visible" r:id="rId16"/>
  </sheets>
  <definedNames>
    <definedName name="_xlnm._FilterDatabase" localSheetId="2" hidden="1">'Playoffs_Hugo'!$A$1:$G$1</definedName>
    <definedName name="_xlnm._FilterDatabase" localSheetId="6" hidden="1">'Playoffs_Oscar'!$A$1:$G$1</definedName>
    <definedName name="_xlnm._FilterDatabase" localSheetId="10" hidden="1">'Playoffs_Camilo'!$A$1:$G$1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w Cen MT"/>
      <family val="2"/>
      <color theme="1"/>
      <sz val="11"/>
    </font>
    <font>
      <name val="Tw Cen MT"/>
      <family val="2"/>
      <b val="1"/>
      <color theme="1"/>
      <sz val="11"/>
    </font>
    <font>
      <name val="Tw Cen MT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D9D9D9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1" fillId="3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7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/>
    </xf>
    <xf numFmtId="0" fontId="3" fillId="7" borderId="1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6" fillId="0" borderId="0" pivotButton="0" quotePrefix="0" xfId="0"/>
    <xf numFmtId="0" fontId="5" fillId="9" borderId="1" applyAlignment="1" pivotButton="0" quotePrefix="0" xfId="0">
      <alignment horizontal="center"/>
    </xf>
    <xf numFmtId="0" fontId="0" fillId="0" borderId="11" pivotButton="0" quotePrefix="0" xfId="0"/>
    <xf numFmtId="0" fontId="0" fillId="0" borderId="7" pivotButton="0" quotePrefix="0" xfId="0"/>
    <xf numFmtId="0" fontId="4" fillId="8" borderId="1" applyAlignment="1" pivotButton="0" quotePrefix="0" xfId="0">
      <alignment horizontal="center"/>
    </xf>
    <xf numFmtId="0" fontId="1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dxfs count="564"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abla1" displayName="Tabla1" ref="K1:AC5" headerRowCount="1" totalsRowShown="0" headerRowDxfId="563" dataDxfId="562" tableBorderDxfId="561">
  <autoFilter ref="K1:AC5"/>
  <sortState ref="K2:AC5">
    <sortCondition descending="1" ref="M2:M5"/>
    <sortCondition descending="1" ref="N2:N5"/>
  </sortState>
  <tableColumns count="19">
    <tableColumn id="1" name="Posición" dataDxfId="560"/>
    <tableColumn id="2" name="Equipo" dataDxfId="559"/>
    <tableColumn id="3" name="Puntos" dataDxfId="558">
      <calculatedColumnFormula>(Q2*3)+R2</calculatedColumnFormula>
    </tableColumn>
    <tableColumn id="4" name="Diferencia" dataDxfId="557">
      <calculatedColumnFormula>O2-P2</calculatedColumnFormula>
    </tableColumn>
    <tableColumn id="5" name="GF" dataDxfId="556">
      <calculatedColumnFormula>Z2+AA2</calculatedColumnFormula>
    </tableColumn>
    <tableColumn id="6" name="GC" dataDxfId="555">
      <calculatedColumnFormula>AB2+AC2</calculatedColumnFormula>
    </tableColumn>
    <tableColumn id="7" name="Victorias" dataDxfId="554">
      <calculatedColumnFormula>T2+U2</calculatedColumnFormula>
    </tableColumn>
    <tableColumn id="8" name="Empates" dataDxfId="553">
      <calculatedColumnFormula>V2+W2</calculatedColumnFormula>
    </tableColumn>
    <tableColumn id="9" name="Derrotas" dataDxfId="552">
      <calculatedColumnFormula>X2+Y2</calculatedColumnFormula>
    </tableColumn>
    <tableColumn id="10" name="Victorias_L" dataDxfId="551">
      <calculatedColumnFormula>COUNTIFS(C:C,L2,G:G,"Local")</calculatedColumnFormula>
    </tableColumn>
    <tableColumn id="11" name="Victorias_V" dataDxfId="550">
      <calculatedColumnFormula>COUNTIFS(D:D,L2,G:G,"Visitante")</calculatedColumnFormula>
    </tableColumn>
    <tableColumn id="12" name="Empates_L" dataDxfId="549">
      <calculatedColumnFormula>COUNTIFS(C:C,L2,G:G,"Empate")</calculatedColumnFormula>
    </tableColumn>
    <tableColumn id="13" name="Empates_V" dataDxfId="548">
      <calculatedColumnFormula>COUNTIFS(D:D,L2,G:G,"Empate")</calculatedColumnFormula>
    </tableColumn>
    <tableColumn id="14" name="Derrotas_L" dataDxfId="547">
      <calculatedColumnFormula>COUNTIFS(C:C,L2,G:G,"Visitante")</calculatedColumnFormula>
    </tableColumn>
    <tableColumn id="15" name="Derrotas_V" dataDxfId="546">
      <calculatedColumnFormula>COUNTIFS(D:D,L2,G:G,"Local")</calculatedColumnFormula>
    </tableColumn>
    <tableColumn id="16" name="GF_L" dataDxfId="545">
      <calculatedColumnFormula>SUMIF(C:C,L2,E:E)</calculatedColumnFormula>
    </tableColumn>
    <tableColumn id="17" name="GF_V" dataDxfId="544">
      <calculatedColumnFormula>SUMIF(D:D,L2,F:F)</calculatedColumnFormula>
    </tableColumn>
    <tableColumn id="18" name="GC_L" dataDxfId="543">
      <calculatedColumnFormula>SUMIF(C:C,L2,F:F)</calculatedColumnFormula>
    </tableColumn>
    <tableColumn id="19" name="GC_V" dataDxfId="542">
      <calculatedColumnFormula>SUMIF(D:D,L2,E:E)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5" displayName="Tabla15" ref="K7:AC11" headerRowCount="1" totalsRowShown="0" headerRowDxfId="541" dataDxfId="540" tableBorderDxfId="539">
  <autoFilter ref="K7:AC11"/>
  <sortState ref="K8:AC11">
    <sortCondition descending="1" ref="M7:M11"/>
  </sortState>
  <tableColumns count="19">
    <tableColumn id="1" name="Posición" dataDxfId="538"/>
    <tableColumn id="2" name="Equipo" dataDxfId="537"/>
    <tableColumn id="3" name="Puntos" dataDxfId="536">
      <calculatedColumnFormula>(Q8*3)+R8</calculatedColumnFormula>
    </tableColumn>
    <tableColumn id="4" name="Diferencia" dataDxfId="535">
      <calculatedColumnFormula>O8-P8</calculatedColumnFormula>
    </tableColumn>
    <tableColumn id="5" name="GF" dataDxfId="534">
      <calculatedColumnFormula>Z8+AA8</calculatedColumnFormula>
    </tableColumn>
    <tableColumn id="6" name="GC" dataDxfId="533">
      <calculatedColumnFormula>AB8+AC8</calculatedColumnFormula>
    </tableColumn>
    <tableColumn id="7" name="Victorias" dataDxfId="532">
      <calculatedColumnFormula>T8+U8</calculatedColumnFormula>
    </tableColumn>
    <tableColumn id="8" name="Empates" dataDxfId="531">
      <calculatedColumnFormula>V8+W8</calculatedColumnFormula>
    </tableColumn>
    <tableColumn id="9" name="Derrotas" dataDxfId="530">
      <calculatedColumnFormula>X8+Y8</calculatedColumnFormula>
    </tableColumn>
    <tableColumn id="10" name="Victorias_L" dataDxfId="529">
      <calculatedColumnFormula>COUNTIFS(C:C,L8,G:G,"Local")</calculatedColumnFormula>
    </tableColumn>
    <tableColumn id="11" name="Victorias_V" dataDxfId="528">
      <calculatedColumnFormula>COUNTIFS(D:D,L8,G:G,"Visitante")</calculatedColumnFormula>
    </tableColumn>
    <tableColumn id="12" name="Empates_L" dataDxfId="527">
      <calculatedColumnFormula>COUNTIFS(C:C,L8,G:G,"Empate")</calculatedColumnFormula>
    </tableColumn>
    <tableColumn id="13" name="Empates_V" dataDxfId="526">
      <calculatedColumnFormula>COUNTIFS(D:D,L8,G:G,"Empate")</calculatedColumnFormula>
    </tableColumn>
    <tableColumn id="14" name="Derrotas_L" dataDxfId="525">
      <calculatedColumnFormula>COUNTIFS(C:C,L8,G:G,"Visitante")</calculatedColumnFormula>
    </tableColumn>
    <tableColumn id="15" name="Derrotas_V" dataDxfId="524">
      <calculatedColumnFormula>COUNTIFS(D:D,L8,G:G,"Local")</calculatedColumnFormula>
    </tableColumn>
    <tableColumn id="16" name="GF_L" dataDxfId="523">
      <calculatedColumnFormula>SUMIF(C:C,L8,E:E)</calculatedColumnFormula>
    </tableColumn>
    <tableColumn id="17" name="GF_V" dataDxfId="522">
      <calculatedColumnFormula>SUMIF(D:D,L8,F:F)</calculatedColumnFormula>
    </tableColumn>
    <tableColumn id="18" name="GC_L" dataDxfId="521">
      <calculatedColumnFormula>SUMIF(C:C,L8,F:F)</calculatedColumnFormula>
    </tableColumn>
    <tableColumn id="19" name="GC_V" dataDxfId="520">
      <calculatedColumnFormula>SUMIF(D:D,L8,E:E)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6" displayName="Tabla16" ref="K13:AC17" headerRowCount="1" totalsRowShown="0" headerRowDxfId="519" dataDxfId="518" tableBorderDxfId="517">
  <autoFilter ref="K13:AC17"/>
  <sortState ref="K14:AC17">
    <sortCondition descending="1" ref="M13:M17"/>
  </sortState>
  <tableColumns count="19">
    <tableColumn id="1" name="Posición" dataDxfId="516"/>
    <tableColumn id="2" name="Equipo" dataDxfId="515"/>
    <tableColumn id="3" name="Puntos" dataDxfId="514">
      <calculatedColumnFormula>(Q14*3)+R14</calculatedColumnFormula>
    </tableColumn>
    <tableColumn id="4" name="Diferencia" dataDxfId="513">
      <calculatedColumnFormula>O14-P14</calculatedColumnFormula>
    </tableColumn>
    <tableColumn id="5" name="GF" dataDxfId="512">
      <calculatedColumnFormula>Z14+AA14</calculatedColumnFormula>
    </tableColumn>
    <tableColumn id="6" name="GC" dataDxfId="511">
      <calculatedColumnFormula>AB14+AC14</calculatedColumnFormula>
    </tableColumn>
    <tableColumn id="7" name="Victorias" dataDxfId="510">
      <calculatedColumnFormula>T14+U14</calculatedColumnFormula>
    </tableColumn>
    <tableColumn id="8" name="Empates" dataDxfId="509">
      <calculatedColumnFormula>V14+W14</calculatedColumnFormula>
    </tableColumn>
    <tableColumn id="9" name="Derrotas" dataDxfId="508">
      <calculatedColumnFormula>X14+Y14</calculatedColumnFormula>
    </tableColumn>
    <tableColumn id="10" name="Victorias_L" dataDxfId="507">
      <calculatedColumnFormula>COUNTIFS(C:C,L14,G:G,"Local")</calculatedColumnFormula>
    </tableColumn>
    <tableColumn id="11" name="Victorias_V" dataDxfId="506">
      <calculatedColumnFormula>COUNTIFS(D:D,L14,G:G,"Visitante")</calculatedColumnFormula>
    </tableColumn>
    <tableColumn id="12" name="Empates_L" dataDxfId="505">
      <calculatedColumnFormula>COUNTIFS(C:C,L14,G:G,"Empate")</calculatedColumnFormula>
    </tableColumn>
    <tableColumn id="13" name="Empates_V" dataDxfId="504">
      <calculatedColumnFormula>COUNTIFS(D:D,L14,G:G,"Empate")</calculatedColumnFormula>
    </tableColumn>
    <tableColumn id="14" name="Derrotas_L" dataDxfId="503">
      <calculatedColumnFormula>COUNTIFS(C:C,L14,G:G,"Visitante")</calculatedColumnFormula>
    </tableColumn>
    <tableColumn id="15" name="Derrotas_V" dataDxfId="502">
      <calculatedColumnFormula>COUNTIFS(D:D,L14,G:G,"Local")</calculatedColumnFormula>
    </tableColumn>
    <tableColumn id="16" name="GF_L" dataDxfId="501">
      <calculatedColumnFormula>SUMIF(C:C,L14,E:E)</calculatedColumnFormula>
    </tableColumn>
    <tableColumn id="17" name="GF_V" dataDxfId="500">
      <calculatedColumnFormula>SUMIF(D:D,L14,F:F)</calculatedColumnFormula>
    </tableColumn>
    <tableColumn id="18" name="GC_L" dataDxfId="499">
      <calculatedColumnFormula>SUMIF(C:C,L14,F:F)</calculatedColumnFormula>
    </tableColumn>
    <tableColumn id="19" name="GC_V" dataDxfId="498">
      <calculatedColumnFormula>SUMIF(D:D,L14,E:E)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7" displayName="Tabla17" ref="K19:AC23" headerRowCount="1" totalsRowShown="0" headerRowDxfId="497" dataDxfId="496" tableBorderDxfId="495">
  <autoFilter ref="K19:AC23"/>
  <sortState ref="K20:AC23">
    <sortCondition descending="1" ref="M19:M23"/>
  </sortState>
  <tableColumns count="19">
    <tableColumn id="1" name="Posición" dataDxfId="494"/>
    <tableColumn id="2" name="Equipo" dataDxfId="493"/>
    <tableColumn id="3" name="Puntos" dataDxfId="492">
      <calculatedColumnFormula>(Q20*3)+R20</calculatedColumnFormula>
    </tableColumn>
    <tableColumn id="4" name="Diferencia" dataDxfId="491">
      <calculatedColumnFormula>O20-P20</calculatedColumnFormula>
    </tableColumn>
    <tableColumn id="5" name="GF" dataDxfId="490">
      <calculatedColumnFormula>Z20+AA20</calculatedColumnFormula>
    </tableColumn>
    <tableColumn id="6" name="GC" dataDxfId="489">
      <calculatedColumnFormula>AB20+AC20</calculatedColumnFormula>
    </tableColumn>
    <tableColumn id="7" name="Victorias" dataDxfId="488">
      <calculatedColumnFormula>T20+U20</calculatedColumnFormula>
    </tableColumn>
    <tableColumn id="8" name="Empates" dataDxfId="487">
      <calculatedColumnFormula>V20+W20</calculatedColumnFormula>
    </tableColumn>
    <tableColumn id="9" name="Derrotas" dataDxfId="486">
      <calculatedColumnFormula>X20+Y20</calculatedColumnFormula>
    </tableColumn>
    <tableColumn id="10" name="Victorias_L" dataDxfId="485">
      <calculatedColumnFormula>COUNTIFS(C:C,L20,G:G,"Local")</calculatedColumnFormula>
    </tableColumn>
    <tableColumn id="11" name="Victorias_V" dataDxfId="484">
      <calculatedColumnFormula>COUNTIFS(D:D,L20,G:G,"Visitante")</calculatedColumnFormula>
    </tableColumn>
    <tableColumn id="12" name="Empates_L" dataDxfId="483">
      <calculatedColumnFormula>COUNTIFS(C:C,L20,G:G,"Empate")</calculatedColumnFormula>
    </tableColumn>
    <tableColumn id="13" name="Empates_V" dataDxfId="482">
      <calculatedColumnFormula>COUNTIFS(D:D,L20,G:G,"Empate")</calculatedColumnFormula>
    </tableColumn>
    <tableColumn id="14" name="Derrotas_L" dataDxfId="481">
      <calculatedColumnFormula>COUNTIFS(C:C,L20,G:G,"Visitante")</calculatedColumnFormula>
    </tableColumn>
    <tableColumn id="15" name="Derrotas_V" dataDxfId="480">
      <calculatedColumnFormula>COUNTIFS(D:D,L20,G:G,"Local")</calculatedColumnFormula>
    </tableColumn>
    <tableColumn id="16" name="GF_L" dataDxfId="479">
      <calculatedColumnFormula>SUMIF(C:C,L20,E:E)</calculatedColumnFormula>
    </tableColumn>
    <tableColumn id="17" name="GF_V" dataDxfId="478">
      <calculatedColumnFormula>SUMIF(D:D,L20,F:F)</calculatedColumnFormula>
    </tableColumn>
    <tableColumn id="18" name="GC_L" dataDxfId="477">
      <calculatedColumnFormula>SUMIF(C:C,L20,F:F)</calculatedColumnFormula>
    </tableColumn>
    <tableColumn id="19" name="GC_V" dataDxfId="476">
      <calculatedColumnFormula>SUMIF(D:D,L20,E:E)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8" displayName="Tabla18" ref="K25:AC29" headerRowCount="1" totalsRowShown="0" headerRowDxfId="475" dataDxfId="474" tableBorderDxfId="473">
  <autoFilter ref="K25:AC29"/>
  <sortState ref="K26:AC29">
    <sortCondition descending="1" ref="M25:M29"/>
  </sortState>
  <tableColumns count="19">
    <tableColumn id="1" name="Posición" dataDxfId="472"/>
    <tableColumn id="2" name="Equipo" dataDxfId="471"/>
    <tableColumn id="3" name="Puntos" dataDxfId="470">
      <calculatedColumnFormula>(Q26*3)+R26</calculatedColumnFormula>
    </tableColumn>
    <tableColumn id="4" name="Diferencia" dataDxfId="469">
      <calculatedColumnFormula>O26-P26</calculatedColumnFormula>
    </tableColumn>
    <tableColumn id="5" name="GF" dataDxfId="468">
      <calculatedColumnFormula>Z26+AA26</calculatedColumnFormula>
    </tableColumn>
    <tableColumn id="6" name="GC" dataDxfId="467">
      <calculatedColumnFormula>AB26+AC26</calculatedColumnFormula>
    </tableColumn>
    <tableColumn id="7" name="Victorias" dataDxfId="466">
      <calculatedColumnFormula>T26+U26</calculatedColumnFormula>
    </tableColumn>
    <tableColumn id="8" name="Empates" dataDxfId="465">
      <calculatedColumnFormula>V26+W26</calculatedColumnFormula>
    </tableColumn>
    <tableColumn id="9" name="Derrotas" dataDxfId="464">
      <calculatedColumnFormula>X26+Y26</calculatedColumnFormula>
    </tableColumn>
    <tableColumn id="10" name="Victorias_L" dataDxfId="463">
      <calculatedColumnFormula>COUNTIFS(C:C,L26,G:G,"Local")</calculatedColumnFormula>
    </tableColumn>
    <tableColumn id="11" name="Victorias_V" dataDxfId="462">
      <calculatedColumnFormula>COUNTIFS(D:D,L26,G:G,"Visitante")</calculatedColumnFormula>
    </tableColumn>
    <tableColumn id="12" name="Empates_L" dataDxfId="461">
      <calculatedColumnFormula>COUNTIFS(C:C,L26,G:G,"Empate")</calculatedColumnFormula>
    </tableColumn>
    <tableColumn id="13" name="Empates_V" dataDxfId="460">
      <calculatedColumnFormula>COUNTIFS(D:D,L26,G:G,"Empate")</calculatedColumnFormula>
    </tableColumn>
    <tableColumn id="14" name="Derrotas_L" dataDxfId="459">
      <calculatedColumnFormula>COUNTIFS(C:C,L26,G:G,"Visitante")</calculatedColumnFormula>
    </tableColumn>
    <tableColumn id="15" name="Derrotas_V" dataDxfId="458">
      <calculatedColumnFormula>COUNTIFS(D:D,L26,G:G,"Local")</calculatedColumnFormula>
    </tableColumn>
    <tableColumn id="16" name="GF_L" dataDxfId="457">
      <calculatedColumnFormula>SUMIF(C:C,L26,E:E)</calculatedColumnFormula>
    </tableColumn>
    <tableColumn id="17" name="GF_V" dataDxfId="456">
      <calculatedColumnFormula>SUMIF(D:D,L26,F:F)</calculatedColumnFormula>
    </tableColumn>
    <tableColumn id="18" name="GC_L" dataDxfId="455">
      <calculatedColumnFormula>SUMIF(C:C,L26,F:F)</calculatedColumnFormula>
    </tableColumn>
    <tableColumn id="19" name="GC_V" dataDxfId="454">
      <calculatedColumnFormula>SUMIF(D:D,L26,E:E)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19" displayName="Tabla19" ref="K31:AC35" headerRowCount="1" totalsRowShown="0" headerRowDxfId="453" dataDxfId="452" tableBorderDxfId="451">
  <autoFilter ref="K31:AC35"/>
  <sortState ref="K32:AC35">
    <sortCondition descending="1" ref="M32:M35"/>
    <sortCondition descending="1" ref="N32:N35"/>
  </sortState>
  <tableColumns count="19">
    <tableColumn id="1" name="Posición" dataDxfId="450"/>
    <tableColumn id="2" name="Equipo" dataDxfId="449"/>
    <tableColumn id="3" name="Puntos" dataDxfId="448">
      <calculatedColumnFormula>(Q32*3)+R32</calculatedColumnFormula>
    </tableColumn>
    <tableColumn id="4" name="Diferencia" dataDxfId="447">
      <calculatedColumnFormula>O32-P32</calculatedColumnFormula>
    </tableColumn>
    <tableColumn id="5" name="GF" dataDxfId="446">
      <calculatedColumnFormula>Z32+AA32</calculatedColumnFormula>
    </tableColumn>
    <tableColumn id="6" name="GC" dataDxfId="445">
      <calculatedColumnFormula>AB32+AC32</calculatedColumnFormula>
    </tableColumn>
    <tableColumn id="7" name="Victorias" dataDxfId="444">
      <calculatedColumnFormula>T32+U32</calculatedColumnFormula>
    </tableColumn>
    <tableColumn id="8" name="Empates" dataDxfId="443">
      <calculatedColumnFormula>V32+W32</calculatedColumnFormula>
    </tableColumn>
    <tableColumn id="9" name="Derrotas" dataDxfId="442">
      <calculatedColumnFormula>X32+Y32</calculatedColumnFormula>
    </tableColumn>
    <tableColumn id="10" name="Victorias_L" dataDxfId="441">
      <calculatedColumnFormula>COUNTIFS(C:C,L32,G:G,"Local")</calculatedColumnFormula>
    </tableColumn>
    <tableColumn id="11" name="Victorias_V" dataDxfId="440">
      <calculatedColumnFormula>COUNTIFS(D:D,L32,G:G,"Visitante")</calculatedColumnFormula>
    </tableColumn>
    <tableColumn id="12" name="Empates_L" dataDxfId="439">
      <calculatedColumnFormula>COUNTIFS(C:C,L32,G:G,"Empate")</calculatedColumnFormula>
    </tableColumn>
    <tableColumn id="13" name="Empates_V" dataDxfId="438">
      <calculatedColumnFormula>COUNTIFS(D:D,L32,G:G,"Empate")</calculatedColumnFormula>
    </tableColumn>
    <tableColumn id="14" name="Derrotas_L" dataDxfId="437">
      <calculatedColumnFormula>COUNTIFS(C:C,L32,G:G,"Visitante")</calculatedColumnFormula>
    </tableColumn>
    <tableColumn id="15" name="Derrotas_V" dataDxfId="436">
      <calculatedColumnFormula>COUNTIFS(D:D,L32,G:G,"Local")</calculatedColumnFormula>
    </tableColumn>
    <tableColumn id="16" name="GF_L" dataDxfId="435">
      <calculatedColumnFormula>SUMIF(C:C,L32,E:E)</calculatedColumnFormula>
    </tableColumn>
    <tableColumn id="17" name="GF_V" dataDxfId="434">
      <calculatedColumnFormula>SUMIF(D:D,L32,F:F)</calculatedColumnFormula>
    </tableColumn>
    <tableColumn id="18" name="GC_L" dataDxfId="433">
      <calculatedColumnFormula>SUMIF(C:C,L32,F:F)</calculatedColumnFormula>
    </tableColumn>
    <tableColumn id="19" name="GC_V" dataDxfId="432">
      <calculatedColumnFormula>SUMIF(D:D,L32,E:E)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20" displayName="Tabla20" ref="K37:AC41" headerRowCount="1" totalsRowShown="0" headerRowDxfId="431" dataDxfId="430" tableBorderDxfId="429">
  <autoFilter ref="K37:AC41"/>
  <sortState ref="K38:AC41">
    <sortCondition descending="1" ref="M38:M41"/>
    <sortCondition descending="1" ref="N38:N41"/>
  </sortState>
  <tableColumns count="19">
    <tableColumn id="1" name="Posición" dataDxfId="428"/>
    <tableColumn id="2" name="Equipo" dataDxfId="427"/>
    <tableColumn id="3" name="Puntos" dataDxfId="426">
      <calculatedColumnFormula>(Q38*3)+R38</calculatedColumnFormula>
    </tableColumn>
    <tableColumn id="4" name="Diferencia" dataDxfId="425">
      <calculatedColumnFormula>O38-P38</calculatedColumnFormula>
    </tableColumn>
    <tableColumn id="5" name="GF" dataDxfId="424">
      <calculatedColumnFormula>Z38+AA38</calculatedColumnFormula>
    </tableColumn>
    <tableColumn id="6" name="GC" dataDxfId="423">
      <calculatedColumnFormula>AB38+AC38</calculatedColumnFormula>
    </tableColumn>
    <tableColumn id="7" name="Victorias" dataDxfId="422">
      <calculatedColumnFormula>T38+U38</calculatedColumnFormula>
    </tableColumn>
    <tableColumn id="8" name="Empates" dataDxfId="421">
      <calculatedColumnFormula>V38+W38</calculatedColumnFormula>
    </tableColumn>
    <tableColumn id="9" name="Derrotas" dataDxfId="420">
      <calculatedColumnFormula>X38+Y38</calculatedColumnFormula>
    </tableColumn>
    <tableColumn id="10" name="Victorias_L" dataDxfId="419">
      <calculatedColumnFormula>COUNTIFS(C:C,L38,G:G,"Local")</calculatedColumnFormula>
    </tableColumn>
    <tableColumn id="11" name="Victorias_V" dataDxfId="418">
      <calculatedColumnFormula>COUNTIFS(D:D,L38,G:G,"Visitante")</calculatedColumnFormula>
    </tableColumn>
    <tableColumn id="12" name="Empates_L" dataDxfId="417">
      <calculatedColumnFormula>COUNTIFS(C:C,L38,G:G,"Empate")</calculatedColumnFormula>
    </tableColumn>
    <tableColumn id="13" name="Empates_V" dataDxfId="416">
      <calculatedColumnFormula>COUNTIFS(D:D,L38,G:G,"Empate")</calculatedColumnFormula>
    </tableColumn>
    <tableColumn id="14" name="Derrotas_L" dataDxfId="415">
      <calculatedColumnFormula>COUNTIFS(C:C,L38,G:G,"Visitante")</calculatedColumnFormula>
    </tableColumn>
    <tableColumn id="15" name="Derrotas_V" dataDxfId="414">
      <calculatedColumnFormula>COUNTIFS(D:D,L38,G:G,"Local")</calculatedColumnFormula>
    </tableColumn>
    <tableColumn id="16" name="GF_L" dataDxfId="413">
      <calculatedColumnFormula>SUMIF(C:C,L38,E:E)</calculatedColumnFormula>
    </tableColumn>
    <tableColumn id="17" name="GF_V" dataDxfId="412">
      <calculatedColumnFormula>SUMIF(D:D,L38,F:F)</calculatedColumnFormula>
    </tableColumn>
    <tableColumn id="18" name="GC_L" dataDxfId="411">
      <calculatedColumnFormula>SUMIF(C:C,L38,F:F)</calculatedColumnFormula>
    </tableColumn>
    <tableColumn id="19" name="GC_V" dataDxfId="410">
      <calculatedColumnFormula>SUMIF(D:D,L38,E:E)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21" displayName="Tabla21" ref="K43:AC47" headerRowCount="1" totalsRowShown="0" headerRowDxfId="409" dataDxfId="408" tableBorderDxfId="407">
  <autoFilter ref="K43:AC47"/>
  <sortState ref="K44:AC47">
    <sortCondition descending="1" ref="M43:M47"/>
  </sortState>
  <tableColumns count="19">
    <tableColumn id="1" name="Posición" dataDxfId="406"/>
    <tableColumn id="2" name="Equipo" dataDxfId="405"/>
    <tableColumn id="3" name="Puntos" dataDxfId="404">
      <calculatedColumnFormula>(Q44*3)+R44</calculatedColumnFormula>
    </tableColumn>
    <tableColumn id="4" name="Diferencia" dataDxfId="403">
      <calculatedColumnFormula>O44-P44</calculatedColumnFormula>
    </tableColumn>
    <tableColumn id="5" name="GF" dataDxfId="402">
      <calculatedColumnFormula>Z44+AA44</calculatedColumnFormula>
    </tableColumn>
    <tableColumn id="6" name="GC" dataDxfId="401">
      <calculatedColumnFormula>AB44+AC44</calculatedColumnFormula>
    </tableColumn>
    <tableColumn id="7" name="Victorias" dataDxfId="400">
      <calculatedColumnFormula>T44+U44</calculatedColumnFormula>
    </tableColumn>
    <tableColumn id="8" name="Empates" dataDxfId="399">
      <calculatedColumnFormula>V44+W44</calculatedColumnFormula>
    </tableColumn>
    <tableColumn id="9" name="Derrotas" dataDxfId="398">
      <calculatedColumnFormula>X44+Y44</calculatedColumnFormula>
    </tableColumn>
    <tableColumn id="10" name="Victorias_L" dataDxfId="397">
      <calculatedColumnFormula>COUNTIFS(C:C,L44,G:G,"Local")</calculatedColumnFormula>
    </tableColumn>
    <tableColumn id="11" name="Victorias_V" dataDxfId="396">
      <calculatedColumnFormula>COUNTIFS(D:D,L44,G:G,"Visitante")</calculatedColumnFormula>
    </tableColumn>
    <tableColumn id="12" name="Empates_L" dataDxfId="395">
      <calculatedColumnFormula>COUNTIFS(C:C,L44,G:G,"Empate")</calculatedColumnFormula>
    </tableColumn>
    <tableColumn id="13" name="Empates_V" dataDxfId="394">
      <calculatedColumnFormula>COUNTIFS(D:D,L44,G:G,"Empate")</calculatedColumnFormula>
    </tableColumn>
    <tableColumn id="14" name="Derrotas_L" dataDxfId="393">
      <calculatedColumnFormula>COUNTIFS(C:C,L44,G:G,"Visitante")</calculatedColumnFormula>
    </tableColumn>
    <tableColumn id="15" name="Derrotas_V" dataDxfId="392">
      <calculatedColumnFormula>COUNTIFS(D:D,L44,G:G,"Local")</calculatedColumnFormula>
    </tableColumn>
    <tableColumn id="16" name="GF_L" dataDxfId="391">
      <calculatedColumnFormula>SUMIF(C:C,L44,E:E)</calculatedColumnFormula>
    </tableColumn>
    <tableColumn id="17" name="GF_V" dataDxfId="390">
      <calculatedColumnFormula>SUMIF(D:D,L44,F:F)</calculatedColumnFormula>
    </tableColumn>
    <tableColumn id="18" name="GC_L" dataDxfId="389">
      <calculatedColumnFormula>SUMIF(C:C,L44,F:F)</calculatedColumnFormula>
    </tableColumn>
    <tableColumn id="19" name="GC_V" dataDxfId="388">
      <calculatedColumnFormula>SUMIF(D:D,L44,E:E)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a22" displayName="Tabla22" ref="K49:AC53" headerRowCount="1" totalsRowShown="0" headerRowDxfId="387" dataDxfId="386" tableBorderDxfId="385">
  <autoFilter ref="K49:AC53"/>
  <sortState ref="K50:AC53">
    <sortCondition descending="1" ref="M50:M53"/>
    <sortCondition descending="1" ref="N50:N53"/>
  </sortState>
  <tableColumns count="19">
    <tableColumn id="1" name="Posición" dataDxfId="384"/>
    <tableColumn id="2" name="Equipo" dataDxfId="383"/>
    <tableColumn id="3" name="Puntos" dataDxfId="382">
      <calculatedColumnFormula>(Q50*3)+R50</calculatedColumnFormula>
    </tableColumn>
    <tableColumn id="4" name="Diferencia" dataDxfId="381">
      <calculatedColumnFormula>O50-P50</calculatedColumnFormula>
    </tableColumn>
    <tableColumn id="5" name="GF" dataDxfId="380">
      <calculatedColumnFormula>Z50+AA50</calculatedColumnFormula>
    </tableColumn>
    <tableColumn id="6" name="GC" dataDxfId="379">
      <calculatedColumnFormula>AB50+AC50</calculatedColumnFormula>
    </tableColumn>
    <tableColumn id="7" name="Victorias" dataDxfId="378">
      <calculatedColumnFormula>T50+U50</calculatedColumnFormula>
    </tableColumn>
    <tableColumn id="8" name="Empates" dataDxfId="377">
      <calculatedColumnFormula>V50+W50</calculatedColumnFormula>
    </tableColumn>
    <tableColumn id="9" name="Derrotas" dataDxfId="376">
      <calculatedColumnFormula>X50+Y50</calculatedColumnFormula>
    </tableColumn>
    <tableColumn id="10" name="Victorias_L" dataDxfId="375">
      <calculatedColumnFormula>COUNTIFS(C:C,L50,G:G,"Local")</calculatedColumnFormula>
    </tableColumn>
    <tableColumn id="11" name="Victorias_V" dataDxfId="374">
      <calculatedColumnFormula>COUNTIFS(D:D,L50,G:G,"Visitante")</calculatedColumnFormula>
    </tableColumn>
    <tableColumn id="12" name="Empates_L" dataDxfId="373">
      <calculatedColumnFormula>COUNTIFS(C:C,L50,G:G,"Empate")</calculatedColumnFormula>
    </tableColumn>
    <tableColumn id="13" name="Empates_V" dataDxfId="372">
      <calculatedColumnFormula>COUNTIFS(D:D,L50,G:G,"Empate")</calculatedColumnFormula>
    </tableColumn>
    <tableColumn id="14" name="Derrotas_L" dataDxfId="371">
      <calculatedColumnFormula>COUNTIFS(C:C,L50,G:G,"Visitante")</calculatedColumnFormula>
    </tableColumn>
    <tableColumn id="15" name="Derrotas_V" dataDxfId="370">
      <calculatedColumnFormula>COUNTIFS(D:D,L50,G:G,"Local")</calculatedColumnFormula>
    </tableColumn>
    <tableColumn id="16" name="GF_L" dataDxfId="369">
      <calculatedColumnFormula>SUMIF(C:C,L50,E:E)</calculatedColumnFormula>
    </tableColumn>
    <tableColumn id="17" name="GF_V" dataDxfId="368">
      <calculatedColumnFormula>SUMIF(D:D,L50,F:F)</calculatedColumnFormula>
    </tableColumn>
    <tableColumn id="18" name="GC_L" dataDxfId="367">
      <calculatedColumnFormula>SUMIF(C:C,L50,F:F)</calculatedColumnFormula>
    </tableColumn>
    <tableColumn id="19" name="GC_V" dataDxfId="366">
      <calculatedColumnFormula>SUMIF(D:D,L50,E:E)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a23" displayName="Tabla23" ref="K55:AC59" headerRowCount="1" totalsRowShown="0" headerRowDxfId="365" dataDxfId="364" tableBorderDxfId="363">
  <autoFilter ref="K55:AC59"/>
  <sortState ref="K56:AC59">
    <sortCondition descending="1" ref="M56:M59"/>
    <sortCondition descending="1" ref="N56:N59"/>
  </sortState>
  <tableColumns count="19">
    <tableColumn id="1" name="Posición" dataDxfId="362"/>
    <tableColumn id="2" name="Equipo" dataDxfId="361"/>
    <tableColumn id="3" name="Puntos" dataDxfId="360">
      <calculatedColumnFormula>(Q56*3)+R56</calculatedColumnFormula>
    </tableColumn>
    <tableColumn id="4" name="Diferencia" dataDxfId="359">
      <calculatedColumnFormula>O56-P56</calculatedColumnFormula>
    </tableColumn>
    <tableColumn id="5" name="GF" dataDxfId="358">
      <calculatedColumnFormula>Z56+AA56</calculatedColumnFormula>
    </tableColumn>
    <tableColumn id="6" name="GC" dataDxfId="357">
      <calculatedColumnFormula>AB56+AC56</calculatedColumnFormula>
    </tableColumn>
    <tableColumn id="7" name="Victorias" dataDxfId="356">
      <calculatedColumnFormula>T56+U56</calculatedColumnFormula>
    </tableColumn>
    <tableColumn id="8" name="Empates" dataDxfId="355">
      <calculatedColumnFormula>V56+W56</calculatedColumnFormula>
    </tableColumn>
    <tableColumn id="9" name="Derrotas" dataDxfId="354">
      <calculatedColumnFormula>X56+Y56</calculatedColumnFormula>
    </tableColumn>
    <tableColumn id="10" name="Victorias_L" dataDxfId="353">
      <calculatedColumnFormula>COUNTIFS(C:C,L56,G:G,"Local")</calculatedColumnFormula>
    </tableColumn>
    <tableColumn id="11" name="Victorias_V" dataDxfId="352">
      <calculatedColumnFormula>COUNTIFS(D:D,L56,G:G,"Visitante")</calculatedColumnFormula>
    </tableColumn>
    <tableColumn id="12" name="Empates_L" dataDxfId="351">
      <calculatedColumnFormula>COUNTIFS(C:C,L56,G:G,"Empate")</calculatedColumnFormula>
    </tableColumn>
    <tableColumn id="13" name="Empates_V" dataDxfId="350">
      <calculatedColumnFormula>COUNTIFS(D:D,L56,G:G,"Empate")</calculatedColumnFormula>
    </tableColumn>
    <tableColumn id="14" name="Derrotas_L" dataDxfId="349">
      <calculatedColumnFormula>COUNTIFS(C:C,L56,G:G,"Visitante")</calculatedColumnFormula>
    </tableColumn>
    <tableColumn id="15" name="Derrotas_V" dataDxfId="348">
      <calculatedColumnFormula>COUNTIFS(D:D,L56,G:G,"Local")</calculatedColumnFormula>
    </tableColumn>
    <tableColumn id="16" name="GF_L" dataDxfId="347">
      <calculatedColumnFormula>SUMIF(C:C,L56,E:E)</calculatedColumnFormula>
    </tableColumn>
    <tableColumn id="17" name="GF_V" dataDxfId="346">
      <calculatedColumnFormula>SUMIF(D:D,L56,F:F)</calculatedColumnFormula>
    </tableColumn>
    <tableColumn id="18" name="GC_L" dataDxfId="345">
      <calculatedColumnFormula>SUMIF(C:C,L56,F:F)</calculatedColumnFormula>
    </tableColumn>
    <tableColumn id="19" name="GC_V" dataDxfId="344">
      <calculatedColumnFormula>SUMIF(D:D,L56,E:E)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a24" displayName="Tabla24" ref="K61:AC65" headerRowCount="1" totalsRowShown="0" headerRowDxfId="343" dataDxfId="342" tableBorderDxfId="341">
  <autoFilter ref="K61:AC65"/>
  <sortState ref="K62:AC65">
    <sortCondition descending="1" ref="M61:M65"/>
  </sortState>
  <tableColumns count="19">
    <tableColumn id="1" name="Posición" dataDxfId="340"/>
    <tableColumn id="2" name="Equipo" dataDxfId="339"/>
    <tableColumn id="3" name="Puntos" dataDxfId="338">
      <calculatedColumnFormula>(Q62*3)+R62</calculatedColumnFormula>
    </tableColumn>
    <tableColumn id="4" name="Diferencia" dataDxfId="337">
      <calculatedColumnFormula>O62-P62</calculatedColumnFormula>
    </tableColumn>
    <tableColumn id="5" name="GF" dataDxfId="336">
      <calculatedColumnFormula>Z62+AA62</calculatedColumnFormula>
    </tableColumn>
    <tableColumn id="6" name="GC" dataDxfId="335">
      <calculatedColumnFormula>AB62+AC62</calculatedColumnFormula>
    </tableColumn>
    <tableColumn id="7" name="Victorias" dataDxfId="334">
      <calculatedColumnFormula>T62+U62</calculatedColumnFormula>
    </tableColumn>
    <tableColumn id="8" name="Empates" dataDxfId="333">
      <calculatedColumnFormula>V62+W62</calculatedColumnFormula>
    </tableColumn>
    <tableColumn id="9" name="Derrotas" dataDxfId="332">
      <calculatedColumnFormula>X62+Y62</calculatedColumnFormula>
    </tableColumn>
    <tableColumn id="10" name="Victorias_L" dataDxfId="331">
      <calculatedColumnFormula>COUNTIFS(C:C,L62,G:G,"Local")</calculatedColumnFormula>
    </tableColumn>
    <tableColumn id="11" name="Victorias_V" dataDxfId="330">
      <calculatedColumnFormula>COUNTIFS(D:D,L62,G:G,"Visitante")</calculatedColumnFormula>
    </tableColumn>
    <tableColumn id="12" name="Empates_L" dataDxfId="329">
      <calculatedColumnFormula>COUNTIFS(C:C,L62,G:G,"Empate")</calculatedColumnFormula>
    </tableColumn>
    <tableColumn id="13" name="Empates_V" dataDxfId="328">
      <calculatedColumnFormula>COUNTIFS(D:D,L62,G:G,"Empate")</calculatedColumnFormula>
    </tableColumn>
    <tableColumn id="14" name="Derrotas_L" dataDxfId="327">
      <calculatedColumnFormula>COUNTIFS(C:C,L62,G:G,"Visitante")</calculatedColumnFormula>
    </tableColumn>
    <tableColumn id="15" name="Derrotas_V" dataDxfId="326">
      <calculatedColumnFormula>COUNTIFS(D:D,L62,G:G,"Local")</calculatedColumnFormula>
    </tableColumn>
    <tableColumn id="16" name="GF_L" dataDxfId="325">
      <calculatedColumnFormula>SUMIF(C:C,L62,E:E)</calculatedColumnFormula>
    </tableColumn>
    <tableColumn id="17" name="GF_V" dataDxfId="324">
      <calculatedColumnFormula>SUMIF(D:D,L62,F:F)</calculatedColumnFormula>
    </tableColumn>
    <tableColumn id="18" name="GC_L" dataDxfId="323">
      <calculatedColumnFormula>SUMIF(C:C,L62,F:F)</calculatedColumnFormula>
    </tableColumn>
    <tableColumn id="19" name="GC_V" dataDxfId="322">
      <calculatedColumnFormula>SUMIF(D:D,L62,E:E)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a25" displayName="Tabla25" ref="K67:AC71" headerRowCount="1" totalsRowShown="0" headerRowDxfId="321" dataDxfId="320" tableBorderDxfId="319">
  <autoFilter ref="K67:AC71"/>
  <sortState ref="K68:AC71">
    <sortCondition descending="1" ref="M68:M71"/>
    <sortCondition descending="1" ref="N68:N71"/>
  </sortState>
  <tableColumns count="19">
    <tableColumn id="1" name="Posición" dataDxfId="318"/>
    <tableColumn id="2" name="Equipo" dataDxfId="317"/>
    <tableColumn id="3" name="Puntos" dataDxfId="316">
      <calculatedColumnFormula>(Q68*3)+R68</calculatedColumnFormula>
    </tableColumn>
    <tableColumn id="4" name="Diferencia" dataDxfId="315">
      <calculatedColumnFormula>O68-P68</calculatedColumnFormula>
    </tableColumn>
    <tableColumn id="5" name="GF" dataDxfId="314">
      <calculatedColumnFormula>Z68+AA68</calculatedColumnFormula>
    </tableColumn>
    <tableColumn id="6" name="GC" dataDxfId="313">
      <calculatedColumnFormula>AB68+AC68</calculatedColumnFormula>
    </tableColumn>
    <tableColumn id="7" name="Victorias" dataDxfId="312">
      <calculatedColumnFormula>T68+U68</calculatedColumnFormula>
    </tableColumn>
    <tableColumn id="8" name="Empates" dataDxfId="311">
      <calculatedColumnFormula>V68+W68</calculatedColumnFormula>
    </tableColumn>
    <tableColumn id="9" name="Derrotas" dataDxfId="310">
      <calculatedColumnFormula>X68+Y68</calculatedColumnFormula>
    </tableColumn>
    <tableColumn id="10" name="Victorias_L" dataDxfId="309">
      <calculatedColumnFormula>COUNTIFS(C:C,L68,G:G,"Local")</calculatedColumnFormula>
    </tableColumn>
    <tableColumn id="11" name="Victorias_V" dataDxfId="308">
      <calculatedColumnFormula>COUNTIFS(D:D,L68,G:G,"Visitante")</calculatedColumnFormula>
    </tableColumn>
    <tableColumn id="12" name="Empates_L" dataDxfId="307">
      <calculatedColumnFormula>COUNTIFS(C:C,L68,G:G,"Empate")</calculatedColumnFormula>
    </tableColumn>
    <tableColumn id="13" name="Empates_V" dataDxfId="306">
      <calculatedColumnFormula>COUNTIFS(D:D,L68,G:G,"Empate")</calculatedColumnFormula>
    </tableColumn>
    <tableColumn id="14" name="Derrotas_L" dataDxfId="305">
      <calculatedColumnFormula>COUNTIFS(C:C,L68,G:G,"Visitante")</calculatedColumnFormula>
    </tableColumn>
    <tableColumn id="15" name="Derrotas_V" dataDxfId="304">
      <calculatedColumnFormula>COUNTIFS(D:D,L68,G:G,"Local")</calculatedColumnFormula>
    </tableColumn>
    <tableColumn id="16" name="GF_L" dataDxfId="303">
      <calculatedColumnFormula>SUMIF(C:C,L68,E:E)</calculatedColumnFormula>
    </tableColumn>
    <tableColumn id="17" name="GF_V" dataDxfId="302">
      <calculatedColumnFormula>SUMIF(D:D,L68,F:F)</calculatedColumnFormula>
    </tableColumn>
    <tableColumn id="18" name="GC_L" dataDxfId="301">
      <calculatedColumnFormula>SUMIF(C:C,L68,F:F)</calculatedColumnFormula>
    </tableColumn>
    <tableColumn id="19" name="GC_V" dataDxfId="300">
      <calculatedColumnFormula>SUMIF(D:D,L68,E:E)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a1429" displayName="Tabla1429" ref="J74:S86" headerRowCount="1" totalsRowShown="0" headerRowDxfId="299" tableBorderDxfId="298">
  <autoFilter ref="J74:S86"/>
  <sortState ref="J75:S86">
    <sortCondition descending="1" ref="M75:M86"/>
    <sortCondition descending="1" ref="N75:N86"/>
    <sortCondition descending="1" ref="O75:O86"/>
  </sortState>
  <tableColumns count="10">
    <tableColumn id="1" name="Grupo" dataDxfId="297"/>
    <tableColumn id="2" name="Posición" dataDxfId="296"/>
    <tableColumn id="3" name="Equipo" dataDxfId="295"/>
    <tableColumn id="4" name="Puntos" dataDxfId="294"/>
    <tableColumn id="5" name="Diferencia" dataDxfId="293"/>
    <tableColumn id="6" name="GF" dataDxfId="292"/>
    <tableColumn id="7" name="GC" dataDxfId="291"/>
    <tableColumn id="8" name="Victorias" dataDxfId="290"/>
    <tableColumn id="9" name="Empates" dataDxfId="289"/>
    <tableColumn id="10" name="Derrotas" dataDxfId="28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a1427" displayName="Tabla1427" ref="J75:S87" headerRowCount="1" totalsRowShown="0" headerRowDxfId="287" tableBorderDxfId="286">
  <autoFilter ref="J75:S87"/>
  <sortState ref="J76:S87">
    <sortCondition descending="1" ref="M76:M87"/>
    <sortCondition descending="1" ref="N76:N87"/>
    <sortCondition descending="1" ref="O76:O87"/>
  </sortState>
  <tableColumns count="10">
    <tableColumn id="1" name="Grupo" dataDxfId="285"/>
    <tableColumn id="2" name="Posición" dataDxfId="284"/>
    <tableColumn id="3" name="Equipo" dataDxfId="283"/>
    <tableColumn id="4" name="Puntos" dataDxfId="282"/>
    <tableColumn id="5" name="Diferencia" dataDxfId="281"/>
    <tableColumn id="6" name="GF" dataDxfId="280"/>
    <tableColumn id="7" name="GC" dataDxfId="279"/>
    <tableColumn id="8" name="Victorias" dataDxfId="278"/>
    <tableColumn id="9" name="Empates" dataDxfId="277"/>
    <tableColumn id="10" name="Derrotas" dataDxfId="27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a29" displayName="Tabla29" ref="K1:S5" headerRowCount="1" totalsRowShown="0" headerRowDxfId="275" tableBorderDxfId="274">
  <autoFilter ref="K1:S5"/>
  <sortState ref="K2:S5">
    <sortCondition descending="1" ref="M1:M5"/>
  </sortState>
  <tableColumns count="9">
    <tableColumn id="1" name="Posición" dataDxfId="273"/>
    <tableColumn id="2" name="Equipo" dataDxfId="272"/>
    <tableColumn id="3" name="Puntos" dataDxfId="271">
      <calculatedColumnFormula>(Q2*3)+R2</calculatedColumnFormula>
    </tableColumn>
    <tableColumn id="4" name="Diferencia" dataDxfId="270">
      <calculatedColumnFormula>O2-P2</calculatedColumnFormula>
    </tableColumn>
    <tableColumn id="5" name="GF" dataDxfId="269">
      <calculatedColumnFormula>Z2+AA2</calculatedColumnFormula>
    </tableColumn>
    <tableColumn id="6" name="GC" dataDxfId="268">
      <calculatedColumnFormula>AB2+AC2</calculatedColumnFormula>
    </tableColumn>
    <tableColumn id="7" name="Victorias" dataDxfId="267">
      <calculatedColumnFormula>T2+U2</calculatedColumnFormula>
    </tableColumn>
    <tableColumn id="8" name="Empates" dataDxfId="266">
      <calculatedColumnFormula>V2+W2</calculatedColumnFormula>
    </tableColumn>
    <tableColumn id="9" name="Derrotas" dataDxfId="265">
      <calculatedColumnFormula>X2+Y2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a30" displayName="Tabla30" ref="K7:S11" headerRowCount="1" totalsRowShown="0" headerRowDxfId="264" tableBorderDxfId="263">
  <autoFilter ref="K7:S11"/>
  <sortState ref="K8:S11">
    <sortCondition descending="1" ref="M8:M11"/>
    <sortCondition descending="1" ref="N8:N11"/>
  </sortState>
  <tableColumns count="9">
    <tableColumn id="1" name="Posición" dataDxfId="262"/>
    <tableColumn id="2" name="Equipo" dataDxfId="261"/>
    <tableColumn id="3" name="Puntos" dataDxfId="260">
      <calculatedColumnFormula>(Q8*3)+R8</calculatedColumnFormula>
    </tableColumn>
    <tableColumn id="4" name="Diferencia" dataDxfId="259">
      <calculatedColumnFormula>O8-P8</calculatedColumnFormula>
    </tableColumn>
    <tableColumn id="5" name="GF" dataDxfId="258">
      <calculatedColumnFormula>Z8+AA8</calculatedColumnFormula>
    </tableColumn>
    <tableColumn id="6" name="GC" dataDxfId="257">
      <calculatedColumnFormula>AB8+AC8</calculatedColumnFormula>
    </tableColumn>
    <tableColumn id="7" name="Victorias" dataDxfId="256">
      <calculatedColumnFormula>T8+U8</calculatedColumnFormula>
    </tableColumn>
    <tableColumn id="8" name="Empates" dataDxfId="255">
      <calculatedColumnFormula>V8+W8</calculatedColumnFormula>
    </tableColumn>
    <tableColumn id="9" name="Derrotas" dataDxfId="254">
      <calculatedColumnFormula>X8+Y8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a31" displayName="Tabla31" ref="K13:S17" headerRowCount="1" totalsRowShown="0" headerRowDxfId="253" tableBorderDxfId="252">
  <autoFilter ref="K13:S17"/>
  <sortState ref="K14:S17">
    <sortCondition descending="1" ref="M13:M17"/>
  </sortState>
  <tableColumns count="9">
    <tableColumn id="1" name="Posición" dataDxfId="251"/>
    <tableColumn id="2" name="Equipo" dataDxfId="250"/>
    <tableColumn id="3" name="Puntos" dataDxfId="249">
      <calculatedColumnFormula>(Q14*3)+R14</calculatedColumnFormula>
    </tableColumn>
    <tableColumn id="4" name="Diferencia" dataDxfId="248">
      <calculatedColumnFormula>O14-P14</calculatedColumnFormula>
    </tableColumn>
    <tableColumn id="5" name="GF" dataDxfId="247">
      <calculatedColumnFormula>Z14+AA14</calculatedColumnFormula>
    </tableColumn>
    <tableColumn id="6" name="GC" dataDxfId="246">
      <calculatedColumnFormula>AB14+AC14</calculatedColumnFormula>
    </tableColumn>
    <tableColumn id="7" name="Victorias" dataDxfId="245">
      <calculatedColumnFormula>T14+U14</calculatedColumnFormula>
    </tableColumn>
    <tableColumn id="8" name="Empates" dataDxfId="244">
      <calculatedColumnFormula>V14+W14</calculatedColumnFormula>
    </tableColumn>
    <tableColumn id="9" name="Derrotas" dataDxfId="243">
      <calculatedColumnFormula>X14+Y14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a32" displayName="Tabla32" ref="K19:S23" headerRowCount="1" totalsRowShown="0" headerRowDxfId="242" tableBorderDxfId="241">
  <autoFilter ref="K19:S23"/>
  <sortState ref="K20:S23">
    <sortCondition descending="1" ref="M20:M23"/>
    <sortCondition descending="1" ref="N20:N23"/>
  </sortState>
  <tableColumns count="9">
    <tableColumn id="1" name="Posición" dataDxfId="240"/>
    <tableColumn id="2" name="Equipo" dataDxfId="239"/>
    <tableColumn id="3" name="Puntos" dataDxfId="238">
      <calculatedColumnFormula>(Q20*3)+R20</calculatedColumnFormula>
    </tableColumn>
    <tableColumn id="4" name="Diferencia" dataDxfId="237">
      <calculatedColumnFormula>O20-P20</calculatedColumnFormula>
    </tableColumn>
    <tableColumn id="5" name="GF" dataDxfId="236">
      <calculatedColumnFormula>Z20+AA20</calculatedColumnFormula>
    </tableColumn>
    <tableColumn id="6" name="GC" dataDxfId="235">
      <calculatedColumnFormula>AB20+AC20</calculatedColumnFormula>
    </tableColumn>
    <tableColumn id="7" name="Victorias" dataDxfId="234">
      <calculatedColumnFormula>T20+U20</calculatedColumnFormula>
    </tableColumn>
    <tableColumn id="8" name="Empates" dataDxfId="233">
      <calculatedColumnFormula>V20+W20</calculatedColumnFormula>
    </tableColumn>
    <tableColumn id="9" name="Derrotas" dataDxfId="232">
      <calculatedColumnFormula>X20+Y20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a33" displayName="Tabla33" ref="K25:S29" headerRowCount="1" totalsRowShown="0" headerRowDxfId="231" tableBorderDxfId="230">
  <autoFilter ref="K25:S29"/>
  <sortState ref="K26:S29">
    <sortCondition descending="1" ref="M26:M29"/>
    <sortCondition descending="1" ref="N26:N29"/>
  </sortState>
  <tableColumns count="9">
    <tableColumn id="1" name="Posición" dataDxfId="229"/>
    <tableColumn id="2" name="Equipo" dataDxfId="228"/>
    <tableColumn id="3" name="Puntos" dataDxfId="227">
      <calculatedColumnFormula>(Q26*3)+R26</calculatedColumnFormula>
    </tableColumn>
    <tableColumn id="4" name="Diferencia" dataDxfId="226">
      <calculatedColumnFormula>O26-P26</calculatedColumnFormula>
    </tableColumn>
    <tableColumn id="5" name="GF" dataDxfId="225">
      <calculatedColumnFormula>Z26+AA26</calculatedColumnFormula>
    </tableColumn>
    <tableColumn id="6" name="GC" dataDxfId="224">
      <calculatedColumnFormula>AB26+AC26</calculatedColumnFormula>
    </tableColumn>
    <tableColumn id="7" name="Victorias" dataDxfId="223">
      <calculatedColumnFormula>T26+U26</calculatedColumnFormula>
    </tableColumn>
    <tableColumn id="8" name="Empates" dataDxfId="222">
      <calculatedColumnFormula>V26+W26</calculatedColumnFormula>
    </tableColumn>
    <tableColumn id="9" name="Derrotas" dataDxfId="221">
      <calculatedColumnFormula>X26+Y26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a34" displayName="Tabla34" ref="K31:S35" headerRowCount="1" totalsRowShown="0" headerRowDxfId="220" tableBorderDxfId="219">
  <autoFilter ref="K31:S35"/>
  <sortState ref="K32:S35">
    <sortCondition descending="1" ref="M32:M35"/>
    <sortCondition descending="1" ref="N32:N35"/>
  </sortState>
  <tableColumns count="9">
    <tableColumn id="1" name="Posición" dataDxfId="218"/>
    <tableColumn id="2" name="Equipo" dataDxfId="217"/>
    <tableColumn id="3" name="Puntos" dataDxfId="216">
      <calculatedColumnFormula>(Q32*3)+R32</calculatedColumnFormula>
    </tableColumn>
    <tableColumn id="4" name="Diferencia" dataDxfId="215">
      <calculatedColumnFormula>O32-P32</calculatedColumnFormula>
    </tableColumn>
    <tableColumn id="5" name="GF" dataDxfId="214">
      <calculatedColumnFormula>Z32+AA32</calculatedColumnFormula>
    </tableColumn>
    <tableColumn id="6" name="GC" dataDxfId="213">
      <calculatedColumnFormula>AB32+AC32</calculatedColumnFormula>
    </tableColumn>
    <tableColumn id="7" name="Victorias" dataDxfId="212">
      <calculatedColumnFormula>T32+U32</calculatedColumnFormula>
    </tableColumn>
    <tableColumn id="8" name="Empates" dataDxfId="211">
      <calculatedColumnFormula>V32+W32</calculatedColumnFormula>
    </tableColumn>
    <tableColumn id="9" name="Derrotas" dataDxfId="210">
      <calculatedColumnFormula>X32+Y32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a35" displayName="Tabla35" ref="K37:S41" headerRowCount="1" totalsRowShown="0" headerRowDxfId="209" tableBorderDxfId="208">
  <autoFilter ref="K37:S41"/>
  <sortState ref="K38:S41">
    <sortCondition descending="1" ref="M37:M41"/>
  </sortState>
  <tableColumns count="9">
    <tableColumn id="1" name="Posición" dataDxfId="207"/>
    <tableColumn id="2" name="Equipo" dataDxfId="206"/>
    <tableColumn id="3" name="Puntos" dataDxfId="205">
      <calculatedColumnFormula>(Q38*3)+R38</calculatedColumnFormula>
    </tableColumn>
    <tableColumn id="4" name="Diferencia" dataDxfId="204">
      <calculatedColumnFormula>O38-P38</calculatedColumnFormula>
    </tableColumn>
    <tableColumn id="5" name="GF" dataDxfId="203">
      <calculatedColumnFormula>Z38+AA38</calculatedColumnFormula>
    </tableColumn>
    <tableColumn id="6" name="GC" dataDxfId="202">
      <calculatedColumnFormula>AB38+AC38</calculatedColumnFormula>
    </tableColumn>
    <tableColumn id="7" name="Victorias" dataDxfId="201">
      <calculatedColumnFormula>T38+U38</calculatedColumnFormula>
    </tableColumn>
    <tableColumn id="8" name="Empates" dataDxfId="200">
      <calculatedColumnFormula>V38+W38</calculatedColumnFormula>
    </tableColumn>
    <tableColumn id="9" name="Derrotas" dataDxfId="199">
      <calculatedColumnFormula>X38+Y38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a36" displayName="Tabla36" ref="K43:S47" headerRowCount="1" totalsRowShown="0" headerRowDxfId="198" tableBorderDxfId="197">
  <autoFilter ref="K43:S47"/>
  <sortState ref="K44:S47">
    <sortCondition descending="1" ref="M43:M47"/>
  </sortState>
  <tableColumns count="9">
    <tableColumn id="1" name="Posición" dataDxfId="196"/>
    <tableColumn id="2" name="Equipo" dataDxfId="195"/>
    <tableColumn id="3" name="Puntos" dataDxfId="194">
      <calculatedColumnFormula>(Q44*3)+R44</calculatedColumnFormula>
    </tableColumn>
    <tableColumn id="4" name="Diferencia" dataDxfId="193">
      <calculatedColumnFormula>O44-P44</calculatedColumnFormula>
    </tableColumn>
    <tableColumn id="5" name="GF" dataDxfId="192">
      <calculatedColumnFormula>Z44+AA44</calculatedColumnFormula>
    </tableColumn>
    <tableColumn id="6" name="GC" dataDxfId="191">
      <calculatedColumnFormula>AB44+AC44</calculatedColumnFormula>
    </tableColumn>
    <tableColumn id="7" name="Victorias" dataDxfId="190">
      <calculatedColumnFormula>T44+U44</calculatedColumnFormula>
    </tableColumn>
    <tableColumn id="8" name="Empates" dataDxfId="189">
      <calculatedColumnFormula>V44+W44</calculatedColumnFormula>
    </tableColumn>
    <tableColumn id="9" name="Derrotas" dataDxfId="188">
      <calculatedColumnFormula>X44+Y44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a37" displayName="Tabla37" ref="K49:S53" headerRowCount="1" totalsRowShown="0" headerRowDxfId="187" tableBorderDxfId="186">
  <autoFilter ref="K49:S53"/>
  <sortState ref="K50:S53">
    <sortCondition descending="1" ref="M49:M53"/>
  </sortState>
  <tableColumns count="9">
    <tableColumn id="1" name="Posición" dataDxfId="185"/>
    <tableColumn id="2" name="Equipo" dataDxfId="184"/>
    <tableColumn id="3" name="Puntos" dataDxfId="183">
      <calculatedColumnFormula>(Q50*3)+R50</calculatedColumnFormula>
    </tableColumn>
    <tableColumn id="4" name="Diferencia" dataDxfId="182">
      <calculatedColumnFormula>O50-P50</calculatedColumnFormula>
    </tableColumn>
    <tableColumn id="5" name="GF" dataDxfId="181">
      <calculatedColumnFormula>Z50+AA50</calculatedColumnFormula>
    </tableColumn>
    <tableColumn id="6" name="GC" dataDxfId="180">
      <calculatedColumnFormula>AB50+AC50</calculatedColumnFormula>
    </tableColumn>
    <tableColumn id="7" name="Victorias" dataDxfId="179">
      <calculatedColumnFormula>T50+U50</calculatedColumnFormula>
    </tableColumn>
    <tableColumn id="8" name="Empates" dataDxfId="178">
      <calculatedColumnFormula>V50+W50</calculatedColumnFormula>
    </tableColumn>
    <tableColumn id="9" name="Derrotas" dataDxfId="177">
      <calculatedColumnFormula>X50+Y50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a38" displayName="Tabla38" ref="K55:S59" headerRowCount="1" totalsRowShown="0" headerRowDxfId="176" tableBorderDxfId="175">
  <autoFilter ref="K55:S59"/>
  <sortState ref="K56:S59">
    <sortCondition descending="1" ref="M56:M59"/>
    <sortCondition descending="1" ref="N56:N59"/>
  </sortState>
  <tableColumns count="9">
    <tableColumn id="1" name="Posición" dataDxfId="174"/>
    <tableColumn id="2" name="Equipo" dataDxfId="173"/>
    <tableColumn id="3" name="Puntos" dataDxfId="172">
      <calculatedColumnFormula>(Q56*3)+R56</calculatedColumnFormula>
    </tableColumn>
    <tableColumn id="4" name="Diferencia" dataDxfId="171">
      <calculatedColumnFormula>O56-P56</calculatedColumnFormula>
    </tableColumn>
    <tableColumn id="5" name="GF" dataDxfId="170">
      <calculatedColumnFormula>Z56+AA56</calculatedColumnFormula>
    </tableColumn>
    <tableColumn id="6" name="GC" dataDxfId="169">
      <calculatedColumnFormula>AB56+AC56</calculatedColumnFormula>
    </tableColumn>
    <tableColumn id="7" name="Victorias" dataDxfId="168">
      <calculatedColumnFormula>T56+U56</calculatedColumnFormula>
    </tableColumn>
    <tableColumn id="8" name="Empates" dataDxfId="167">
      <calculatedColumnFormula>V56+W56</calculatedColumnFormula>
    </tableColumn>
    <tableColumn id="9" name="Derrotas" dataDxfId="166">
      <calculatedColumnFormula>X56+Y56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a39" displayName="Tabla39" ref="K61:S65" headerRowCount="1" totalsRowShown="0" headerRowDxfId="165" tableBorderDxfId="164">
  <autoFilter ref="K61:S65"/>
  <sortState ref="K62:S65">
    <sortCondition descending="1" ref="M62:M65"/>
    <sortCondition descending="1" ref="N62:N65"/>
  </sortState>
  <tableColumns count="9">
    <tableColumn id="1" name="Posición" dataDxfId="163"/>
    <tableColumn id="2" name="Equipo" dataDxfId="162"/>
    <tableColumn id="3" name="Puntos" dataDxfId="161">
      <calculatedColumnFormula>(Q62*3)+R62</calculatedColumnFormula>
    </tableColumn>
    <tableColumn id="4" name="Diferencia" dataDxfId="160">
      <calculatedColumnFormula>O62-P62</calculatedColumnFormula>
    </tableColumn>
    <tableColumn id="5" name="GF" dataDxfId="159">
      <calculatedColumnFormula>Z62+AA62</calculatedColumnFormula>
    </tableColumn>
    <tableColumn id="6" name="GC" dataDxfId="158">
      <calculatedColumnFormula>AB62+AC62</calculatedColumnFormula>
    </tableColumn>
    <tableColumn id="7" name="Victorias" dataDxfId="157">
      <calculatedColumnFormula>T62+U62</calculatedColumnFormula>
    </tableColumn>
    <tableColumn id="8" name="Empates" dataDxfId="156">
      <calculatedColumnFormula>V62+W62</calculatedColumnFormula>
    </tableColumn>
    <tableColumn id="9" name="Derrotas" dataDxfId="155">
      <calculatedColumnFormula>X62+Y62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a40" displayName="Tabla40" ref="K67:S71" headerRowCount="1" totalsRowShown="0" headerRowDxfId="154" tableBorderDxfId="153">
  <autoFilter ref="K67:S71"/>
  <sortState ref="K68:S71">
    <sortCondition descending="1" ref="M67:M71"/>
  </sortState>
  <tableColumns count="9">
    <tableColumn id="1" name="Posición" dataDxfId="152"/>
    <tableColumn id="2" name="Equipo" dataDxfId="151"/>
    <tableColumn id="3" name="Puntos" dataDxfId="150">
      <calculatedColumnFormula>(Q68*3)+R68</calculatedColumnFormula>
    </tableColumn>
    <tableColumn id="4" name="Diferencia" dataDxfId="149">
      <calculatedColumnFormula>O68-P68</calculatedColumnFormula>
    </tableColumn>
    <tableColumn id="5" name="GF" dataDxfId="148">
      <calculatedColumnFormula>Z68+AA68</calculatedColumnFormula>
    </tableColumn>
    <tableColumn id="6" name="GC" dataDxfId="147">
      <calculatedColumnFormula>AB68+AC68</calculatedColumnFormula>
    </tableColumn>
    <tableColumn id="7" name="Victorias" dataDxfId="146">
      <calculatedColumnFormula>T68+U68</calculatedColumnFormula>
    </tableColumn>
    <tableColumn id="8" name="Empates" dataDxfId="145">
      <calculatedColumnFormula>V68+W68</calculatedColumnFormula>
    </tableColumn>
    <tableColumn id="9" name="Derrotas" dataDxfId="144">
      <calculatedColumnFormula>X68+Y68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a2" displayName="Tabla2" ref="K1:S5" headerRowCount="1" totalsRowShown="0" headerRowDxfId="143" tableBorderDxfId="142">
  <autoFilter ref="K1:S5"/>
  <sortState ref="K2:S5">
    <sortCondition ref="K1:K5"/>
  </sortState>
  <tableColumns count="9">
    <tableColumn id="1" name="Posición" dataDxfId="141"/>
    <tableColumn id="2" name="Equipo" dataDxfId="140"/>
    <tableColumn id="3" name="Puntos" dataDxfId="139">
      <calculatedColumnFormula>(Q2*3)+R2</calculatedColumnFormula>
    </tableColumn>
    <tableColumn id="4" name="Diferencia" dataDxfId="138">
      <calculatedColumnFormula>O2-P2</calculatedColumnFormula>
    </tableColumn>
    <tableColumn id="5" name="GF" dataDxfId="137">
      <calculatedColumnFormula>Z2+AA2</calculatedColumnFormula>
    </tableColumn>
    <tableColumn id="6" name="GC" dataDxfId="136">
      <calculatedColumnFormula>AB2+AC2</calculatedColumnFormula>
    </tableColumn>
    <tableColumn id="7" name="Victorias" dataDxfId="135">
      <calculatedColumnFormula>T2+U2</calculatedColumnFormula>
    </tableColumn>
    <tableColumn id="8" name="Empates" dataDxfId="134">
      <calculatedColumnFormula>V2+W2</calculatedColumnFormula>
    </tableColumn>
    <tableColumn id="9" name="Derrotas" dataDxfId="133">
      <calculatedColumnFormula>X2+Y2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a3" displayName="Tabla3" ref="K7:S11" headerRowCount="1" totalsRowShown="0" headerRowDxfId="132" tableBorderDxfId="131">
  <autoFilter ref="K7:S11"/>
  <sortState ref="K8:S11">
    <sortCondition descending="1" ref="M7:M11"/>
  </sortState>
  <tableColumns count="9">
    <tableColumn id="1" name="Posición" dataDxfId="130"/>
    <tableColumn id="2" name="Equipo" dataDxfId="129"/>
    <tableColumn id="3" name="Puntos" dataDxfId="128">
      <calculatedColumnFormula>(Q8*3)+R8</calculatedColumnFormula>
    </tableColumn>
    <tableColumn id="4" name="Diferencia" dataDxfId="127">
      <calculatedColumnFormula>O8-P8</calculatedColumnFormula>
    </tableColumn>
    <tableColumn id="5" name="GF" dataDxfId="126">
      <calculatedColumnFormula>Z8+AA8</calculatedColumnFormula>
    </tableColumn>
    <tableColumn id="6" name="GC" dataDxfId="125">
      <calculatedColumnFormula>AB8+AC8</calculatedColumnFormula>
    </tableColumn>
    <tableColumn id="7" name="Victorias" dataDxfId="124">
      <calculatedColumnFormula>T8+U8</calculatedColumnFormula>
    </tableColumn>
    <tableColumn id="8" name="Empates" dataDxfId="123">
      <calculatedColumnFormula>V8+W8</calculatedColumnFormula>
    </tableColumn>
    <tableColumn id="9" name="Derrotas" dataDxfId="122">
      <calculatedColumnFormula>X8+Y8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a4" displayName="Tabla4" ref="K13:S17" headerRowCount="1" totalsRowShown="0" headerRowDxfId="121" tableBorderDxfId="120">
  <autoFilter ref="K13:S17"/>
  <sortState ref="K14:S17">
    <sortCondition descending="1" ref="M14:M17"/>
    <sortCondition descending="1" ref="N14:N17"/>
  </sortState>
  <tableColumns count="9">
    <tableColumn id="1" name="Posición" dataDxfId="119"/>
    <tableColumn id="2" name="Equipo" dataDxfId="118"/>
    <tableColumn id="3" name="Puntos" dataDxfId="117">
      <calculatedColumnFormula>(Q14*3)+R14</calculatedColumnFormula>
    </tableColumn>
    <tableColumn id="4" name="Diferencia" dataDxfId="116">
      <calculatedColumnFormula>O14-P14</calculatedColumnFormula>
    </tableColumn>
    <tableColumn id="5" name="GF" dataDxfId="115">
      <calculatedColumnFormula>Z14+AA14</calculatedColumnFormula>
    </tableColumn>
    <tableColumn id="6" name="GC" dataDxfId="114">
      <calculatedColumnFormula>AB14+AC14</calculatedColumnFormula>
    </tableColumn>
    <tableColumn id="7" name="Victorias" dataDxfId="113">
      <calculatedColumnFormula>T14+U14</calculatedColumnFormula>
    </tableColumn>
    <tableColumn id="8" name="Empates" dataDxfId="112">
      <calculatedColumnFormula>V14+W14</calculatedColumnFormula>
    </tableColumn>
    <tableColumn id="9" name="Derrotas" dataDxfId="111">
      <calculatedColumnFormula>X14+Y14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a5" displayName="Tabla5" ref="K19:S23" headerRowCount="1" totalsRowShown="0" headerRowDxfId="110" tableBorderDxfId="109">
  <autoFilter ref="K19:S23"/>
  <sortState ref="K20:S23">
    <sortCondition descending="1" ref="M20:M23"/>
    <sortCondition descending="1" ref="N20:N23"/>
  </sortState>
  <tableColumns count="9">
    <tableColumn id="1" name="Posición" dataDxfId="108"/>
    <tableColumn id="2" name="Equipo" dataDxfId="107"/>
    <tableColumn id="3" name="Puntos" dataDxfId="106">
      <calculatedColumnFormula>(Q20*3)+R20</calculatedColumnFormula>
    </tableColumn>
    <tableColumn id="4" name="Diferencia" dataDxfId="105">
      <calculatedColumnFormula>O20-P20</calculatedColumnFormula>
    </tableColumn>
    <tableColumn id="5" name="GF" dataDxfId="104">
      <calculatedColumnFormula>Z20+AA20</calculatedColumnFormula>
    </tableColumn>
    <tableColumn id="6" name="GC" dataDxfId="103">
      <calculatedColumnFormula>AB20+AC20</calculatedColumnFormula>
    </tableColumn>
    <tableColumn id="7" name="Victorias" dataDxfId="102">
      <calculatedColumnFormula>T20+U20</calculatedColumnFormula>
    </tableColumn>
    <tableColumn id="8" name="Empates" dataDxfId="101">
      <calculatedColumnFormula>V20+W20</calculatedColumnFormula>
    </tableColumn>
    <tableColumn id="9" name="Derrotas" dataDxfId="100">
      <calculatedColumnFormula>X20+Y20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a6" displayName="Tabla6" ref="K25:S29" headerRowCount="1" totalsRowShown="0" headerRowDxfId="99" tableBorderDxfId="98">
  <autoFilter ref="K25:S29"/>
  <sortState ref="K26:S29">
    <sortCondition descending="1" ref="M25:M29"/>
  </sortState>
  <tableColumns count="9">
    <tableColumn id="1" name="Posición" dataDxfId="97"/>
    <tableColumn id="2" name="Equipo" dataDxfId="96"/>
    <tableColumn id="3" name="Puntos" dataDxfId="95">
      <calculatedColumnFormula>(Q26*3)+R26</calculatedColumnFormula>
    </tableColumn>
    <tableColumn id="4" name="Diferencia" dataDxfId="94">
      <calculatedColumnFormula>O26-P26</calculatedColumnFormula>
    </tableColumn>
    <tableColumn id="5" name="GF" dataDxfId="93">
      <calculatedColumnFormula>Z26+AA26</calculatedColumnFormula>
    </tableColumn>
    <tableColumn id="6" name="GC" dataDxfId="92">
      <calculatedColumnFormula>AB26+AC26</calculatedColumnFormula>
    </tableColumn>
    <tableColumn id="7" name="Victorias" dataDxfId="91">
      <calculatedColumnFormula>T26+U26</calculatedColumnFormula>
    </tableColumn>
    <tableColumn id="8" name="Empates" dataDxfId="90">
      <calculatedColumnFormula>V26+W26</calculatedColumnFormula>
    </tableColumn>
    <tableColumn id="9" name="Derrotas" dataDxfId="89">
      <calculatedColumnFormula>X26+Y26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a7" displayName="Tabla7" ref="K31:S35" headerRowCount="1" totalsRowShown="0" headerRowDxfId="88" tableBorderDxfId="87">
  <autoFilter ref="K31:S35"/>
  <tableColumns count="9">
    <tableColumn id="1" name="Posición" dataDxfId="86"/>
    <tableColumn id="2" name="Equipo" dataDxfId="85"/>
    <tableColumn id="3" name="Puntos" dataDxfId="84">
      <calculatedColumnFormula>(Q32*3)+R32</calculatedColumnFormula>
    </tableColumn>
    <tableColumn id="4" name="Diferencia" dataDxfId="83">
      <calculatedColumnFormula>O32-P32</calculatedColumnFormula>
    </tableColumn>
    <tableColumn id="5" name="GF" dataDxfId="82">
      <calculatedColumnFormula>Z32+AA32</calculatedColumnFormula>
    </tableColumn>
    <tableColumn id="6" name="GC" dataDxfId="81">
      <calculatedColumnFormula>AB32+AC32</calculatedColumnFormula>
    </tableColumn>
    <tableColumn id="7" name="Victorias" dataDxfId="80">
      <calculatedColumnFormula>T32+U32</calculatedColumnFormula>
    </tableColumn>
    <tableColumn id="8" name="Empates" dataDxfId="79">
      <calculatedColumnFormula>V32+W32</calculatedColumnFormula>
    </tableColumn>
    <tableColumn id="9" name="Derrotas" dataDxfId="78">
      <calculatedColumnFormula>X32+Y32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a8" displayName="Tabla8" ref="K37:S41" headerRowCount="1" totalsRowShown="0" headerRowDxfId="77" tableBorderDxfId="76">
  <autoFilter ref="K37:S41"/>
  <sortState ref="K38:S41">
    <sortCondition descending="1" ref="M38:M41"/>
    <sortCondition descending="1" ref="N38:N41"/>
  </sortState>
  <tableColumns count="9">
    <tableColumn id="1" name="Posición" dataDxfId="75"/>
    <tableColumn id="2" name="Equipo" dataDxfId="74"/>
    <tableColumn id="3" name="Puntos" dataDxfId="73">
      <calculatedColumnFormula>(Q38*3)+R38</calculatedColumnFormula>
    </tableColumn>
    <tableColumn id="4" name="Diferencia" dataDxfId="72">
      <calculatedColumnFormula>O38-P38</calculatedColumnFormula>
    </tableColumn>
    <tableColumn id="5" name="GF" dataDxfId="71">
      <calculatedColumnFormula>Z38+AA38</calculatedColumnFormula>
    </tableColumn>
    <tableColumn id="6" name="GC" dataDxfId="70">
      <calculatedColumnFormula>AB38+AC38</calculatedColumnFormula>
    </tableColumn>
    <tableColumn id="7" name="Victorias" dataDxfId="69">
      <calculatedColumnFormula>T38+U38</calculatedColumnFormula>
    </tableColumn>
    <tableColumn id="8" name="Empates" dataDxfId="68">
      <calculatedColumnFormula>V38+W38</calculatedColumnFormula>
    </tableColumn>
    <tableColumn id="9" name="Derrotas" dataDxfId="67">
      <calculatedColumnFormula>X38+Y38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a9" displayName="Tabla9" ref="K43:S47" headerRowCount="1" totalsRowShown="0" headerRowDxfId="66" tableBorderDxfId="65">
  <autoFilter ref="K43:S47"/>
  <sortState ref="K44:S47">
    <sortCondition descending="1" ref="M43:M47"/>
  </sortState>
  <tableColumns count="9">
    <tableColumn id="1" name="Posición" dataDxfId="64"/>
    <tableColumn id="2" name="Equipo" dataDxfId="63"/>
    <tableColumn id="3" name="Puntos" dataDxfId="62">
      <calculatedColumnFormula>(Q44*3)+R44</calculatedColumnFormula>
    </tableColumn>
    <tableColumn id="4" name="Diferencia" dataDxfId="61">
      <calculatedColumnFormula>O44-P44</calculatedColumnFormula>
    </tableColumn>
    <tableColumn id="5" name="GF" dataDxfId="60">
      <calculatedColumnFormula>Z44+AA44</calculatedColumnFormula>
    </tableColumn>
    <tableColumn id="6" name="GC" dataDxfId="59">
      <calculatedColumnFormula>AB44+AC44</calculatedColumnFormula>
    </tableColumn>
    <tableColumn id="7" name="Victorias" dataDxfId="58">
      <calculatedColumnFormula>T44+U44</calculatedColumnFormula>
    </tableColumn>
    <tableColumn id="8" name="Empates" dataDxfId="57">
      <calculatedColumnFormula>V44+W44</calculatedColumnFormula>
    </tableColumn>
    <tableColumn id="9" name="Derrotas" dataDxfId="56">
      <calculatedColumnFormula>X44+Y44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a10" displayName="Tabla10" ref="K49:S53" headerRowCount="1" totalsRowShown="0" headerRowDxfId="55" tableBorderDxfId="54">
  <autoFilter ref="K49:S53"/>
  <sortState ref="K50:S53">
    <sortCondition descending="1" ref="M50:M53"/>
    <sortCondition descending="1" ref="N50:N53"/>
  </sortState>
  <tableColumns count="9">
    <tableColumn id="1" name="Posición" dataDxfId="53"/>
    <tableColumn id="2" name="Equipo" dataDxfId="52"/>
    <tableColumn id="3" name="Puntos" dataDxfId="51">
      <calculatedColumnFormula>(Q50*3)+R50</calculatedColumnFormula>
    </tableColumn>
    <tableColumn id="4" name="Diferencia" dataDxfId="50">
      <calculatedColumnFormula>O50-P50</calculatedColumnFormula>
    </tableColumn>
    <tableColumn id="5" name="GF" dataDxfId="49">
      <calculatedColumnFormula>Z50+AA50</calculatedColumnFormula>
    </tableColumn>
    <tableColumn id="6" name="GC" dataDxfId="48">
      <calculatedColumnFormula>AB50+AC50</calculatedColumnFormula>
    </tableColumn>
    <tableColumn id="7" name="Victorias" dataDxfId="47">
      <calculatedColumnFormula>T50+U50</calculatedColumnFormula>
    </tableColumn>
    <tableColumn id="8" name="Empates" dataDxfId="46">
      <calculatedColumnFormula>V50+W50</calculatedColumnFormula>
    </tableColumn>
    <tableColumn id="9" name="Derrotas" dataDxfId="45">
      <calculatedColumnFormula>X50+Y50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a11" displayName="Tabla11" ref="K55:S59" headerRowCount="1" totalsRowShown="0" headerRowDxfId="44" tableBorderDxfId="43">
  <autoFilter ref="K55:S59"/>
  <sortState ref="K56:S59">
    <sortCondition descending="1" ref="M56:M59"/>
    <sortCondition descending="1" ref="N56:N59"/>
    <sortCondition descending="1" ref="O56:O59"/>
  </sortState>
  <tableColumns count="9">
    <tableColumn id="1" name="Posición" dataDxfId="42"/>
    <tableColumn id="2" name="Equipo" dataDxfId="41"/>
    <tableColumn id="3" name="Puntos" dataDxfId="40">
      <calculatedColumnFormula>(Q56*3)+R56</calculatedColumnFormula>
    </tableColumn>
    <tableColumn id="4" name="Diferencia" dataDxfId="39">
      <calculatedColumnFormula>O56-P56</calculatedColumnFormula>
    </tableColumn>
    <tableColumn id="5" name="GF" dataDxfId="38">
      <calculatedColumnFormula>Z56+AA56</calculatedColumnFormula>
    </tableColumn>
    <tableColumn id="6" name="GC" dataDxfId="37">
      <calculatedColumnFormula>AB56+AC56</calculatedColumnFormula>
    </tableColumn>
    <tableColumn id="7" name="Victorias" dataDxfId="36">
      <calculatedColumnFormula>T56+U56</calculatedColumnFormula>
    </tableColumn>
    <tableColumn id="8" name="Empates" dataDxfId="35">
      <calculatedColumnFormula>V56+W56</calculatedColumnFormula>
    </tableColumn>
    <tableColumn id="9" name="Derrotas" dataDxfId="34">
      <calculatedColumnFormula>X56+Y56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a12" displayName="Tabla12" ref="K61:S65" headerRowCount="1" totalsRowShown="0" headerRowDxfId="33" tableBorderDxfId="32">
  <autoFilter ref="K61:S65"/>
  <sortState ref="K62:S65">
    <sortCondition descending="1" ref="M61:M65"/>
  </sortState>
  <tableColumns count="9">
    <tableColumn id="1" name="Posición" dataDxfId="31"/>
    <tableColumn id="2" name="Equipo" dataDxfId="30"/>
    <tableColumn id="3" name="Puntos" dataDxfId="29">
      <calculatedColumnFormula>(Q62*3)+R62</calculatedColumnFormula>
    </tableColumn>
    <tableColumn id="4" name="Diferencia" dataDxfId="28">
      <calculatedColumnFormula>O62-P62</calculatedColumnFormula>
    </tableColumn>
    <tableColumn id="5" name="GF" dataDxfId="27">
      <calculatedColumnFormula>Z62+AA62</calculatedColumnFormula>
    </tableColumn>
    <tableColumn id="6" name="GC" dataDxfId="26">
      <calculatedColumnFormula>AB62+AC62</calculatedColumnFormula>
    </tableColumn>
    <tableColumn id="7" name="Victorias" dataDxfId="25">
      <calculatedColumnFormula>T62+U62</calculatedColumnFormula>
    </tableColumn>
    <tableColumn id="8" name="Empates" dataDxfId="24">
      <calculatedColumnFormula>V62+W62</calculatedColumnFormula>
    </tableColumn>
    <tableColumn id="9" name="Derrotas" dataDxfId="23">
      <calculatedColumnFormula>X62+Y62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a13" displayName="Tabla13" ref="K67:S71" headerRowCount="1" totalsRowShown="0" headerRowDxfId="22" tableBorderDxfId="21">
  <autoFilter ref="K67:S71"/>
  <sortState ref="K68:S71">
    <sortCondition descending="1" ref="M68:M71"/>
    <sortCondition descending="1" ref="N68:N71"/>
    <sortCondition descending="1" ref="O68:O71"/>
  </sortState>
  <tableColumns count="9">
    <tableColumn id="1" name="Posición" dataDxfId="20"/>
    <tableColumn id="2" name="Equipo" dataDxfId="19"/>
    <tableColumn id="3" name="Puntos" dataDxfId="18">
      <calculatedColumnFormula>(Q68*3)+R68</calculatedColumnFormula>
    </tableColumn>
    <tableColumn id="4" name="Diferencia" dataDxfId="17">
      <calculatedColumnFormula>O68-P68</calculatedColumnFormula>
    </tableColumn>
    <tableColumn id="5" name="GF" dataDxfId="16">
      <calculatedColumnFormula>Z68+AA68</calculatedColumnFormula>
    </tableColumn>
    <tableColumn id="6" name="GC" dataDxfId="15">
      <calculatedColumnFormula>AB68+AC68</calculatedColumnFormula>
    </tableColumn>
    <tableColumn id="7" name="Victorias" dataDxfId="14">
      <calculatedColumnFormula>T68+U68</calculatedColumnFormula>
    </tableColumn>
    <tableColumn id="8" name="Empates" dataDxfId="13">
      <calculatedColumnFormula>V68+W68</calculatedColumnFormula>
    </tableColumn>
    <tableColumn id="9" name="Derrotas" dataDxfId="12">
      <calculatedColumnFormula>X68+Y68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a14" displayName="Tabla14" ref="J73:S85" headerRowCount="1" totalsRowShown="0" headerRowDxfId="11" tableBorderDxfId="10">
  <autoFilter ref="J73:S85"/>
  <sortState ref="J74:S85">
    <sortCondition descending="1" ref="M74:M85"/>
    <sortCondition descending="1" ref="N74:N85"/>
    <sortCondition descending="1" ref="O74:O85"/>
  </sortState>
  <tableColumns count="10">
    <tableColumn id="1" name="Grupo" dataDxfId="9"/>
    <tableColumn id="2" name="Posición" dataDxfId="8"/>
    <tableColumn id="3" name="Equipo" dataDxfId="7"/>
    <tableColumn id="4" name="Puntos" dataDxfId="6">
      <calculatedColumnFormula>(Q74*3)+R74</calculatedColumnFormula>
    </tableColumn>
    <tableColumn id="5" name="Diferencia" dataDxfId="5">
      <calculatedColumnFormula>O74-P74</calculatedColumnFormula>
    </tableColumn>
    <tableColumn id="6" name="GF" dataDxfId="4">
      <calculatedColumnFormula>Z74+AA74</calculatedColumnFormula>
    </tableColumn>
    <tableColumn id="7" name="GC" dataDxfId="3">
      <calculatedColumnFormula>AB74+AC74</calculatedColumnFormula>
    </tableColumn>
    <tableColumn id="8" name="Victorias" dataDxfId="2">
      <calculatedColumnFormula>T74+U74</calculatedColumnFormula>
    </tableColumn>
    <tableColumn id="9" name="Empates" dataDxfId="1">
      <calculatedColumnFormula>V74+W74</calculatedColumnFormula>
    </tableColumn>
    <tableColumn id="10" name="Derrotas" dataDxfId="0">
      <calculatedColumnFormula>X74+Y74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Relationship Type="http://schemas.openxmlformats.org/officeDocument/2006/relationships/table" Target="/xl/tables/table16.xml" Id="rId3" /><Relationship Type="http://schemas.openxmlformats.org/officeDocument/2006/relationships/table" Target="/xl/tables/table17.xml" Id="rId4" /><Relationship Type="http://schemas.openxmlformats.org/officeDocument/2006/relationships/table" Target="/xl/tables/table18.xml" Id="rId5" /><Relationship Type="http://schemas.openxmlformats.org/officeDocument/2006/relationships/table" Target="/xl/tables/table19.xml" Id="rId6" /><Relationship Type="http://schemas.openxmlformats.org/officeDocument/2006/relationships/table" Target="/xl/tables/table20.xml" Id="rId7" /><Relationship Type="http://schemas.openxmlformats.org/officeDocument/2006/relationships/table" Target="/xl/tables/table21.xml" Id="rId8" /><Relationship Type="http://schemas.openxmlformats.org/officeDocument/2006/relationships/table" Target="/xl/tables/table22.xml" Id="rId9" /><Relationship Type="http://schemas.openxmlformats.org/officeDocument/2006/relationships/table" Target="/xl/tables/table23.xml" Id="rId10" /><Relationship Type="http://schemas.openxmlformats.org/officeDocument/2006/relationships/table" Target="/xl/tables/table24.xml" Id="rId11" /><Relationship Type="http://schemas.openxmlformats.org/officeDocument/2006/relationships/table" Target="/xl/tables/table25.xml" Id="rId12" /><Relationship Type="http://schemas.openxmlformats.org/officeDocument/2006/relationships/table" Target="/xl/tables/table26.xml" Id="rId13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Relationship Type="http://schemas.openxmlformats.org/officeDocument/2006/relationships/table" Target="/xl/tables/table29.xml" Id="rId3" /><Relationship Type="http://schemas.openxmlformats.org/officeDocument/2006/relationships/table" Target="/xl/tables/table30.xml" Id="rId4" /><Relationship Type="http://schemas.openxmlformats.org/officeDocument/2006/relationships/table" Target="/xl/tables/table31.xml" Id="rId5" /><Relationship Type="http://schemas.openxmlformats.org/officeDocument/2006/relationships/table" Target="/xl/tables/table32.xml" Id="rId6" /><Relationship Type="http://schemas.openxmlformats.org/officeDocument/2006/relationships/table" Target="/xl/tables/table33.xml" Id="rId7" /><Relationship Type="http://schemas.openxmlformats.org/officeDocument/2006/relationships/table" Target="/xl/tables/table34.xml" Id="rId8" /><Relationship Type="http://schemas.openxmlformats.org/officeDocument/2006/relationships/table" Target="/xl/tables/table35.xml" Id="rId9" /><Relationship Type="http://schemas.openxmlformats.org/officeDocument/2006/relationships/table" Target="/xl/tables/table36.xml" Id="rId10" /><Relationship Type="http://schemas.openxmlformats.org/officeDocument/2006/relationships/table" Target="/xl/tables/table37.xml" Id="rId11" /><Relationship Type="http://schemas.openxmlformats.org/officeDocument/2006/relationships/table" Target="/xl/tables/table38.xml" Id="rId12" /><Relationship Type="http://schemas.openxmlformats.org/officeDocument/2006/relationships/table" Target="/xl/tables/table39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topLeftCell="C1" workbookViewId="0">
      <selection activeCell="D8" sqref="D8"/>
    </sheetView>
  </sheetViews>
  <sheetFormatPr baseColWidth="10" defaultRowHeight="15"/>
  <cols>
    <col width="20.1640625" bestFit="1" customWidth="1" min="3" max="4"/>
    <col width="20.1640625" bestFit="1" customWidth="1" min="12" max="12"/>
    <col width="12.33203125" customWidth="1" min="14" max="14"/>
    <col width="13" customWidth="1" min="20" max="20"/>
    <col width="13.5" customWidth="1" min="21" max="21"/>
    <col width="12.5" customWidth="1" min="22" max="22"/>
    <col width="13.1640625" customWidth="1" min="23" max="23"/>
    <col width="12.6640625" customWidth="1" min="24" max="24"/>
    <col width="13.33203125" customWidth="1" min="25" max="25"/>
    <col width="11.5" customWidth="1" min="26" max="29"/>
  </cols>
  <sheetData>
    <row r="1">
      <c r="A1" s="34" t="inlineStr">
        <is>
          <t>Partido</t>
        </is>
      </c>
      <c r="B1" s="34" t="inlineStr">
        <is>
          <t>Grupo</t>
        </is>
      </c>
      <c r="C1" s="34" t="inlineStr">
        <is>
          <t>Local</t>
        </is>
      </c>
      <c r="D1" s="34" t="inlineStr">
        <is>
          <t>Visitante</t>
        </is>
      </c>
      <c r="E1" s="34" t="inlineStr">
        <is>
          <t>G_Local</t>
        </is>
      </c>
      <c r="F1" s="34" t="inlineStr">
        <is>
          <t>G_Visitante</t>
        </is>
      </c>
      <c r="G1" s="34" t="inlineStr">
        <is>
          <t>Resultado</t>
        </is>
      </c>
      <c r="H1" s="1" t="inlineStr">
        <is>
          <t>Diferencia</t>
        </is>
      </c>
      <c r="I1" s="1" t="n"/>
      <c r="J1" s="6" t="inlineStr">
        <is>
          <t>Grupo</t>
        </is>
      </c>
      <c r="K1" s="7" t="inlineStr">
        <is>
          <t>Posición</t>
        </is>
      </c>
      <c r="L1" s="34" t="inlineStr">
        <is>
          <t>Equipo</t>
        </is>
      </c>
      <c r="M1" s="34" t="inlineStr">
        <is>
          <t>Puntos</t>
        </is>
      </c>
      <c r="N1" s="34" t="inlineStr">
        <is>
          <t>Diferencia</t>
        </is>
      </c>
      <c r="O1" s="34" t="inlineStr">
        <is>
          <t>GF</t>
        </is>
      </c>
      <c r="P1" s="5" t="inlineStr">
        <is>
          <t>GC</t>
        </is>
      </c>
      <c r="Q1" s="5" t="inlineStr">
        <is>
          <t>Victorias</t>
        </is>
      </c>
      <c r="R1" s="5" t="inlineStr">
        <is>
          <t>Empates</t>
        </is>
      </c>
      <c r="S1" s="5" t="inlineStr">
        <is>
          <t>Derrotas</t>
        </is>
      </c>
      <c r="T1" s="5" t="inlineStr">
        <is>
          <t>Victorias_L</t>
        </is>
      </c>
      <c r="U1" s="5" t="inlineStr">
        <is>
          <t>Victorias_V</t>
        </is>
      </c>
      <c r="V1" s="5" t="inlineStr">
        <is>
          <t>Empates_L</t>
        </is>
      </c>
      <c r="W1" s="5" t="inlineStr">
        <is>
          <t>Empates_V</t>
        </is>
      </c>
      <c r="X1" s="5" t="inlineStr">
        <is>
          <t>Derrotas_L</t>
        </is>
      </c>
      <c r="Y1" s="5" t="inlineStr">
        <is>
          <t>Derrotas_V</t>
        </is>
      </c>
      <c r="Z1" s="5" t="inlineStr">
        <is>
          <t>GF_L</t>
        </is>
      </c>
      <c r="AA1" s="5" t="inlineStr">
        <is>
          <t>GF_V</t>
        </is>
      </c>
      <c r="AB1" s="5" t="inlineStr">
        <is>
          <t>GC_L</t>
        </is>
      </c>
      <c r="AC1" s="7" t="inlineStr">
        <is>
          <t>GC_V</t>
        </is>
      </c>
    </row>
    <row r="2">
      <c r="A2" s="34" t="n">
        <v>1</v>
      </c>
      <c r="B2" s="34" t="inlineStr">
        <is>
          <t>A</t>
        </is>
      </c>
      <c r="C2" s="34" t="inlineStr">
        <is>
          <t>México</t>
        </is>
      </c>
      <c r="D2" s="34" t="inlineStr">
        <is>
          <t>Sudáfrica</t>
        </is>
      </c>
      <c r="E2" s="3" t="n">
        <v>2</v>
      </c>
      <c r="F2" s="3" t="n">
        <v>1</v>
      </c>
      <c r="G2" s="34">
        <f>IF(E2&gt;F2,"Local",IF(E2=F2,"Empate","Visitante"))</f>
        <v/>
      </c>
      <c r="H2" s="1">
        <f>E2-F2</f>
        <v/>
      </c>
      <c r="I2" s="1" t="n"/>
      <c r="J2" s="34" t="inlineStr">
        <is>
          <t>A</t>
        </is>
      </c>
      <c r="K2" s="8" t="n">
        <v>1</v>
      </c>
      <c r="L2" s="34" t="inlineStr">
        <is>
          <t>México</t>
        </is>
      </c>
      <c r="M2" s="3">
        <f>(Q2*3)+R2</f>
        <v/>
      </c>
      <c r="N2" s="3">
        <f>O2-P2</f>
        <v/>
      </c>
      <c r="O2" s="3">
        <f>Z2+AA2</f>
        <v/>
      </c>
      <c r="P2" s="3">
        <f>AB2+AC2</f>
        <v/>
      </c>
      <c r="Q2" s="34">
        <f>T2+U2</f>
        <v/>
      </c>
      <c r="R2" s="34">
        <f>V2+W2</f>
        <v/>
      </c>
      <c r="S2" s="34">
        <f>X2+Y2</f>
        <v/>
      </c>
      <c r="T2" s="34">
        <f>COUNTIFS(C:C,L2,G:G,"Local")</f>
        <v/>
      </c>
      <c r="U2" s="34">
        <f>COUNTIFS(D:D,L2,G:G,"Visitante")</f>
        <v/>
      </c>
      <c r="V2" s="34">
        <f>COUNTIFS(C:C,L2,G:G,"Empate")</f>
        <v/>
      </c>
      <c r="W2" s="34">
        <f>COUNTIFS(D:D,L2,G:G,"Empate")</f>
        <v/>
      </c>
      <c r="X2" s="34">
        <f>COUNTIFS(C:C,L2,G:G,"Visitante")</f>
        <v/>
      </c>
      <c r="Y2" s="34">
        <f>COUNTIFS(D:D,L2,G:G,"Local")</f>
        <v/>
      </c>
      <c r="Z2" s="34">
        <f>SUMIF(C:C,L2,E:E)</f>
        <v/>
      </c>
      <c r="AA2" s="34">
        <f>SUMIF(D:D,L2,F:F)</f>
        <v/>
      </c>
      <c r="AB2" s="34">
        <f>SUMIF(C:C,L2,F:F)</f>
        <v/>
      </c>
      <c r="AC2" s="9">
        <f>SUMIF(D:D,L2,E:E)</f>
        <v/>
      </c>
    </row>
    <row r="3">
      <c r="A3" s="34" t="n">
        <v>2</v>
      </c>
      <c r="B3" s="34" t="inlineStr">
        <is>
          <t>A</t>
        </is>
      </c>
      <c r="C3" s="34" t="inlineStr">
        <is>
          <t>Corea del Sur</t>
        </is>
      </c>
      <c r="D3" s="34" t="inlineStr">
        <is>
          <t>República Checa</t>
        </is>
      </c>
      <c r="E3" s="3" t="n">
        <v>2</v>
      </c>
      <c r="F3" s="3" t="n">
        <v>1</v>
      </c>
      <c r="G3" s="34">
        <f>IF(E3&gt;F3,"Local",IF(E3=F3,"Empate","Visitante"))</f>
        <v/>
      </c>
      <c r="H3" s="1">
        <f>E3-F3</f>
        <v/>
      </c>
      <c r="I3" s="1" t="n"/>
      <c r="J3" s="32" t="n"/>
      <c r="K3" s="8" t="n">
        <v>2</v>
      </c>
      <c r="L3" s="34" t="inlineStr">
        <is>
          <t>Sudáfrica</t>
        </is>
      </c>
      <c r="M3" s="3">
        <f>(Q3*3)+R3</f>
        <v/>
      </c>
      <c r="N3" s="3">
        <f>O3-P3</f>
        <v/>
      </c>
      <c r="O3" s="3">
        <f>Z3+AA3</f>
        <v/>
      </c>
      <c r="P3" s="3">
        <f>AB3+AC3</f>
        <v/>
      </c>
      <c r="Q3" s="34">
        <f>T3+U3</f>
        <v/>
      </c>
      <c r="R3" s="34">
        <f>V3+W3</f>
        <v/>
      </c>
      <c r="S3" s="34">
        <f>X3+Y3</f>
        <v/>
      </c>
      <c r="T3" s="34">
        <f>COUNTIFS(C:C,L3,G:G,"Local")</f>
        <v/>
      </c>
      <c r="U3" s="34">
        <f>COUNTIFS(D:D,L3,G:G,"Visitante")</f>
        <v/>
      </c>
      <c r="V3" s="34">
        <f>COUNTIFS(C:C,L3,G:G,"Empate")</f>
        <v/>
      </c>
      <c r="W3" s="34">
        <f>COUNTIFS(D:D,L3,G:G,"Empate")</f>
        <v/>
      </c>
      <c r="X3" s="34">
        <f>COUNTIFS(C:C,L3,G:G,"Visitante")</f>
        <v/>
      </c>
      <c r="Y3" s="34">
        <f>COUNTIFS(D:D,L3,G:G,"Local")</f>
        <v/>
      </c>
      <c r="Z3" s="34">
        <f>SUMIF(C:C,L3,E:E)</f>
        <v/>
      </c>
      <c r="AA3" s="34">
        <f>SUMIF(D:D,L3,F:F)</f>
        <v/>
      </c>
      <c r="AB3" s="34">
        <f>SUMIF(C:C,L3,F:F)</f>
        <v/>
      </c>
      <c r="AC3" s="9">
        <f>SUMIF(D:D,L3,E:E)</f>
        <v/>
      </c>
    </row>
    <row r="4">
      <c r="A4" s="34" t="n">
        <v>3</v>
      </c>
      <c r="B4" s="34" t="inlineStr">
        <is>
          <t>A</t>
        </is>
      </c>
      <c r="C4" s="34" t="inlineStr">
        <is>
          <t>República Checa</t>
        </is>
      </c>
      <c r="D4" s="34" t="inlineStr">
        <is>
          <t>Sudáfrica</t>
        </is>
      </c>
      <c r="E4" s="3" t="n">
        <v>1</v>
      </c>
      <c r="F4" s="3" t="n">
        <v>1</v>
      </c>
      <c r="G4" s="34">
        <f>IF(E4&gt;F4,"Local",IF(E4=F4,"Empate","Visitante"))</f>
        <v/>
      </c>
      <c r="H4" s="1">
        <f>E4-F4</f>
        <v/>
      </c>
      <c r="I4" s="1" t="n"/>
      <c r="J4" s="32" t="n"/>
      <c r="K4" s="8" t="n">
        <v>3</v>
      </c>
      <c r="L4" s="34" t="inlineStr">
        <is>
          <t>República Checa</t>
        </is>
      </c>
      <c r="M4" s="3">
        <f>(Q4*3)+R4</f>
        <v/>
      </c>
      <c r="N4" s="3">
        <f>O4-P4</f>
        <v/>
      </c>
      <c r="O4" s="3">
        <f>Z4+AA4</f>
        <v/>
      </c>
      <c r="P4" s="3">
        <f>AB4+AC4</f>
        <v/>
      </c>
      <c r="Q4" s="34">
        <f>T4+U4</f>
        <v/>
      </c>
      <c r="R4" s="34">
        <f>V4+W4</f>
        <v/>
      </c>
      <c r="S4" s="34">
        <f>X4+Y4</f>
        <v/>
      </c>
      <c r="T4" s="34">
        <f>COUNTIFS(C:C,L4,G:G,"Local")</f>
        <v/>
      </c>
      <c r="U4" s="34">
        <f>COUNTIFS(D:D,L4,G:G,"Visitante")</f>
        <v/>
      </c>
      <c r="V4" s="34">
        <f>COUNTIFS(C:C,L4,G:G,"Empate")</f>
        <v/>
      </c>
      <c r="W4" s="34">
        <f>COUNTIFS(D:D,L4,G:G,"Empate")</f>
        <v/>
      </c>
      <c r="X4" s="34">
        <f>COUNTIFS(C:C,L4,G:G,"Visitante")</f>
        <v/>
      </c>
      <c r="Y4" s="34">
        <f>COUNTIFS(D:D,L4,G:G,"Local")</f>
        <v/>
      </c>
      <c r="Z4" s="34">
        <f>SUMIF(C:C,L4,E:E)</f>
        <v/>
      </c>
      <c r="AA4" s="34">
        <f>SUMIF(D:D,L4,F:F)</f>
        <v/>
      </c>
      <c r="AB4" s="34">
        <f>SUMIF(C:C,L4,F:F)</f>
        <v/>
      </c>
      <c r="AC4" s="9">
        <f>SUMIF(D:D,L4,E:E)</f>
        <v/>
      </c>
    </row>
    <row r="5">
      <c r="A5" s="34" t="n">
        <v>4</v>
      </c>
      <c r="B5" s="34" t="inlineStr">
        <is>
          <t>A</t>
        </is>
      </c>
      <c r="C5" s="34" t="inlineStr">
        <is>
          <t>México</t>
        </is>
      </c>
      <c r="D5" s="34" t="inlineStr">
        <is>
          <t>Corea del Sur</t>
        </is>
      </c>
      <c r="E5" s="3" t="n">
        <v>1</v>
      </c>
      <c r="F5" s="3" t="n">
        <v>0</v>
      </c>
      <c r="G5" s="34">
        <f>IF(E5&gt;F5,"Local",IF(E5=F5,"Empate","Visitante"))</f>
        <v/>
      </c>
      <c r="H5" s="1">
        <f>E5-F5</f>
        <v/>
      </c>
      <c r="I5" s="1" t="n"/>
      <c r="J5" s="33" t="n"/>
      <c r="K5" s="10" t="n">
        <v>4</v>
      </c>
      <c r="L5" s="4" t="inlineStr">
        <is>
          <t>Corea del Sur</t>
        </is>
      </c>
      <c r="M5" s="11">
        <f>(Q5*3)+R5</f>
        <v/>
      </c>
      <c r="N5" s="11">
        <f>O5-P5</f>
        <v/>
      </c>
      <c r="O5" s="11">
        <f>Z5+AA5</f>
        <v/>
      </c>
      <c r="P5" s="11">
        <f>AB5+AC5</f>
        <v/>
      </c>
      <c r="Q5" s="4">
        <f>T5+U5</f>
        <v/>
      </c>
      <c r="R5" s="4">
        <f>V5+W5</f>
        <v/>
      </c>
      <c r="S5" s="4">
        <f>X5+Y5</f>
        <v/>
      </c>
      <c r="T5" s="4">
        <f>COUNTIFS(C:C,L5,G:G,"Local")</f>
        <v/>
      </c>
      <c r="U5" s="4">
        <f>COUNTIFS(D:D,L5,G:G,"Visitante")</f>
        <v/>
      </c>
      <c r="V5" s="4">
        <f>COUNTIFS(C:C,L5,G:G,"Empate")</f>
        <v/>
      </c>
      <c r="W5" s="4">
        <f>COUNTIFS(D:D,L5,G:G,"Empate")</f>
        <v/>
      </c>
      <c r="X5" s="4">
        <f>COUNTIFS(C:C,L5,G:G,"Visitante")</f>
        <v/>
      </c>
      <c r="Y5" s="4">
        <f>COUNTIFS(D:D,L5,G:G,"Local")</f>
        <v/>
      </c>
      <c r="Z5" s="4">
        <f>SUMIF(C:C,L5,E:E)</f>
        <v/>
      </c>
      <c r="AA5" s="4">
        <f>SUMIF(D:D,L5,F:F)</f>
        <v/>
      </c>
      <c r="AB5" s="4">
        <f>SUMIF(C:C,L5,F:F)</f>
        <v/>
      </c>
      <c r="AC5" s="12">
        <f>SUMIF(D:D,L5,E:E)</f>
        <v/>
      </c>
    </row>
    <row r="6">
      <c r="A6" s="34" t="n">
        <v>5</v>
      </c>
      <c r="B6" s="34" t="inlineStr">
        <is>
          <t>A</t>
        </is>
      </c>
      <c r="C6" s="34" t="inlineStr">
        <is>
          <t>República Checa</t>
        </is>
      </c>
      <c r="D6" s="34" t="inlineStr">
        <is>
          <t>México</t>
        </is>
      </c>
      <c r="E6" s="3" t="n">
        <v>2</v>
      </c>
      <c r="F6" s="3" t="n">
        <v>1</v>
      </c>
      <c r="G6" s="34">
        <f>IF(E6&gt;F6,"Local",IF(E6=F6,"Empate","Visitante"))</f>
        <v/>
      </c>
      <c r="H6" s="1">
        <f>E6-F6</f>
        <v/>
      </c>
      <c r="I6" s="1" t="n"/>
      <c r="J6" s="1" t="n"/>
    </row>
    <row r="7">
      <c r="A7" s="34" t="n">
        <v>6</v>
      </c>
      <c r="B7" s="34" t="inlineStr">
        <is>
          <t>A</t>
        </is>
      </c>
      <c r="C7" s="34" t="inlineStr">
        <is>
          <t>Sudáfrica</t>
        </is>
      </c>
      <c r="D7" s="34" t="inlineStr">
        <is>
          <t>Corea del Sur</t>
        </is>
      </c>
      <c r="E7" s="3" t="n">
        <v>2</v>
      </c>
      <c r="F7" s="3" t="n">
        <v>0</v>
      </c>
      <c r="G7" s="34">
        <f>IF(E7&gt;F7,"Local",IF(E7=F7,"Empate","Visitante"))</f>
        <v/>
      </c>
      <c r="H7" s="1">
        <f>E7-F7</f>
        <v/>
      </c>
      <c r="I7" s="1" t="n"/>
      <c r="J7" s="6" t="inlineStr">
        <is>
          <t>Grupo</t>
        </is>
      </c>
      <c r="K7" s="7" t="inlineStr">
        <is>
          <t>Posición</t>
        </is>
      </c>
      <c r="L7" s="34" t="inlineStr">
        <is>
          <t>Equipo</t>
        </is>
      </c>
      <c r="M7" s="34" t="inlineStr">
        <is>
          <t>Puntos</t>
        </is>
      </c>
      <c r="N7" s="34" t="inlineStr">
        <is>
          <t>Diferencia</t>
        </is>
      </c>
      <c r="O7" s="34" t="inlineStr">
        <is>
          <t>GF</t>
        </is>
      </c>
      <c r="P7" s="5" t="inlineStr">
        <is>
          <t>GC</t>
        </is>
      </c>
      <c r="Q7" s="5" t="inlineStr">
        <is>
          <t>Victorias</t>
        </is>
      </c>
      <c r="R7" s="5" t="inlineStr">
        <is>
          <t>Empates</t>
        </is>
      </c>
      <c r="S7" s="5" t="inlineStr">
        <is>
          <t>Derrotas</t>
        </is>
      </c>
      <c r="T7" s="5" t="inlineStr">
        <is>
          <t>Victorias_L</t>
        </is>
      </c>
      <c r="U7" s="5" t="inlineStr">
        <is>
          <t>Victorias_V</t>
        </is>
      </c>
      <c r="V7" s="5" t="inlineStr">
        <is>
          <t>Empates_L</t>
        </is>
      </c>
      <c r="W7" s="5" t="inlineStr">
        <is>
          <t>Empates_V</t>
        </is>
      </c>
      <c r="X7" s="5" t="inlineStr">
        <is>
          <t>Derrotas_L</t>
        </is>
      </c>
      <c r="Y7" s="5" t="inlineStr">
        <is>
          <t>Derrotas_V</t>
        </is>
      </c>
      <c r="Z7" s="5" t="inlineStr">
        <is>
          <t>GF_L</t>
        </is>
      </c>
      <c r="AA7" s="5" t="inlineStr">
        <is>
          <t>GF_V</t>
        </is>
      </c>
      <c r="AB7" s="5" t="inlineStr">
        <is>
          <t>GC_L</t>
        </is>
      </c>
      <c r="AC7" s="7" t="inlineStr">
        <is>
          <t>GC_V</t>
        </is>
      </c>
    </row>
    <row r="8">
      <c r="A8" s="34" t="n">
        <v>7</v>
      </c>
      <c r="B8" s="34" t="inlineStr">
        <is>
          <t>B</t>
        </is>
      </c>
      <c r="C8" s="34" t="inlineStr">
        <is>
          <t>Canadá</t>
        </is>
      </c>
      <c r="D8" s="34" t="inlineStr">
        <is>
          <t>Bosnia y Herzegovina</t>
        </is>
      </c>
      <c r="E8" s="3" t="n">
        <v>2</v>
      </c>
      <c r="F8" s="3" t="n">
        <v>0</v>
      </c>
      <c r="G8" s="34">
        <f>IF(E8&gt;F8,"Local",IF(E8=F8,"Empate","Visitante"))</f>
        <v/>
      </c>
      <c r="H8" s="1">
        <f>E8-F8</f>
        <v/>
      </c>
      <c r="I8" s="1" t="n"/>
      <c r="J8" s="34" t="inlineStr">
        <is>
          <t>B</t>
        </is>
      </c>
      <c r="K8" s="8" t="n">
        <v>1</v>
      </c>
      <c r="L8" s="34" t="inlineStr">
        <is>
          <t>Suiza</t>
        </is>
      </c>
      <c r="M8" s="3">
        <f>(Q8*3)+R8</f>
        <v/>
      </c>
      <c r="N8" s="3">
        <f>O8-P8</f>
        <v/>
      </c>
      <c r="O8" s="3">
        <f>Z8+AA8</f>
        <v/>
      </c>
      <c r="P8" s="3">
        <f>AB8+AC8</f>
        <v/>
      </c>
      <c r="Q8" s="34">
        <f>T8+U8</f>
        <v/>
      </c>
      <c r="R8" s="34">
        <f>V8+W8</f>
        <v/>
      </c>
      <c r="S8" s="34">
        <f>X8+Y8</f>
        <v/>
      </c>
      <c r="T8" s="34">
        <f>COUNTIFS(C:C,L8,G:G,"Local")</f>
        <v/>
      </c>
      <c r="U8" s="34">
        <f>COUNTIFS(D:D,L8,G:G,"Visitante")</f>
        <v/>
      </c>
      <c r="V8" s="34">
        <f>COUNTIFS(C:C,L8,G:G,"Empate")</f>
        <v/>
      </c>
      <c r="W8" s="34">
        <f>COUNTIFS(D:D,L8,G:G,"Empate")</f>
        <v/>
      </c>
      <c r="X8" s="34">
        <f>COUNTIFS(C:C,L8,G:G,"Visitante")</f>
        <v/>
      </c>
      <c r="Y8" s="34">
        <f>COUNTIFS(D:D,L8,G:G,"Local")</f>
        <v/>
      </c>
      <c r="Z8" s="34">
        <f>SUMIF(C:C,L8,E:E)</f>
        <v/>
      </c>
      <c r="AA8" s="34">
        <f>SUMIF(D:D,L8,F:F)</f>
        <v/>
      </c>
      <c r="AB8" s="34">
        <f>SUMIF(C:C,L8,F:F)</f>
        <v/>
      </c>
      <c r="AC8" s="9">
        <f>SUMIF(D:D,L8,E:E)</f>
        <v/>
      </c>
    </row>
    <row r="9">
      <c r="A9" s="34" t="n">
        <v>8</v>
      </c>
      <c r="B9" s="34" t="inlineStr">
        <is>
          <t>B</t>
        </is>
      </c>
      <c r="C9" s="34" t="inlineStr">
        <is>
          <t>Catar</t>
        </is>
      </c>
      <c r="D9" s="34" t="inlineStr">
        <is>
          <t>Suiza</t>
        </is>
      </c>
      <c r="E9" s="3" t="n">
        <v>0</v>
      </c>
      <c r="F9" s="3" t="n">
        <v>3</v>
      </c>
      <c r="G9" s="34">
        <f>IF(E9&gt;F9,"Local",IF(E9=F9,"Empate","Visitante"))</f>
        <v/>
      </c>
      <c r="H9" s="1">
        <f>E9-F9</f>
        <v/>
      </c>
      <c r="I9" s="1" t="n"/>
      <c r="J9" s="32" t="n"/>
      <c r="K9" s="8" t="n">
        <v>2</v>
      </c>
      <c r="L9" s="34" t="inlineStr">
        <is>
          <t>Canadá</t>
        </is>
      </c>
      <c r="M9" s="3">
        <f>(Q9*3)+R9</f>
        <v/>
      </c>
      <c r="N9" s="3">
        <f>O9-P9</f>
        <v/>
      </c>
      <c r="O9" s="3">
        <f>Z9+AA9</f>
        <v/>
      </c>
      <c r="P9" s="3">
        <f>AB9+AC9</f>
        <v/>
      </c>
      <c r="Q9" s="34">
        <f>T9+U9</f>
        <v/>
      </c>
      <c r="R9" s="34">
        <f>V9+W9</f>
        <v/>
      </c>
      <c r="S9" s="34">
        <f>X9+Y9</f>
        <v/>
      </c>
      <c r="T9" s="34">
        <f>COUNTIFS(C:C,L9,G:G,"Local")</f>
        <v/>
      </c>
      <c r="U9" s="34">
        <f>COUNTIFS(D:D,L9,G:G,"Visitante")</f>
        <v/>
      </c>
      <c r="V9" s="34">
        <f>COUNTIFS(C:C,L9,G:G,"Empate")</f>
        <v/>
      </c>
      <c r="W9" s="34">
        <f>COUNTIFS(D:D,L9,G:G,"Empate")</f>
        <v/>
      </c>
      <c r="X9" s="34">
        <f>COUNTIFS(C:C,L9,G:G,"Visitante")</f>
        <v/>
      </c>
      <c r="Y9" s="34">
        <f>COUNTIFS(D:D,L9,G:G,"Local")</f>
        <v/>
      </c>
      <c r="Z9" s="34">
        <f>SUMIF(C:C,L9,E:E)</f>
        <v/>
      </c>
      <c r="AA9" s="34">
        <f>SUMIF(D:D,L9,F:F)</f>
        <v/>
      </c>
      <c r="AB9" s="34">
        <f>SUMIF(C:C,L9,F:F)</f>
        <v/>
      </c>
      <c r="AC9" s="9">
        <f>SUMIF(D:D,L9,E:E)</f>
        <v/>
      </c>
    </row>
    <row r="10">
      <c r="A10" s="34" t="n">
        <v>9</v>
      </c>
      <c r="B10" s="34" t="inlineStr">
        <is>
          <t>B</t>
        </is>
      </c>
      <c r="C10" s="34" t="inlineStr">
        <is>
          <t>Suiza</t>
        </is>
      </c>
      <c r="D10" s="34" t="inlineStr">
        <is>
          <t>Bosnia y Herzegovina</t>
        </is>
      </c>
      <c r="E10" s="3" t="n">
        <v>2</v>
      </c>
      <c r="F10" s="3" t="n">
        <v>0</v>
      </c>
      <c r="G10" s="34">
        <f>IF(E10&gt;F10,"Local",IF(E10=F10,"Empate","Visitante"))</f>
        <v/>
      </c>
      <c r="H10" s="1">
        <f>E10-F10</f>
        <v/>
      </c>
      <c r="I10" s="1" t="n"/>
      <c r="J10" s="32" t="n"/>
      <c r="K10" s="8" t="n">
        <v>3</v>
      </c>
      <c r="L10" s="34" t="inlineStr">
        <is>
          <t>Bosnia y Herzegovina</t>
        </is>
      </c>
      <c r="M10" s="3">
        <f>(Q10*3)+R10</f>
        <v/>
      </c>
      <c r="N10" s="3">
        <f>O10-P10</f>
        <v/>
      </c>
      <c r="O10" s="3">
        <f>Z10+AA10</f>
        <v/>
      </c>
      <c r="P10" s="3">
        <f>AB10+AC10</f>
        <v/>
      </c>
      <c r="Q10" s="34">
        <f>T10+U10</f>
        <v/>
      </c>
      <c r="R10" s="34">
        <f>V10+W10</f>
        <v/>
      </c>
      <c r="S10" s="34">
        <f>X10+Y10</f>
        <v/>
      </c>
      <c r="T10" s="34">
        <f>COUNTIFS(C:C,L10,G:G,"Local")</f>
        <v/>
      </c>
      <c r="U10" s="34">
        <f>COUNTIFS(D:D,L10,G:G,"Visitante")</f>
        <v/>
      </c>
      <c r="V10" s="34">
        <f>COUNTIFS(C:C,L10,G:G,"Empate")</f>
        <v/>
      </c>
      <c r="W10" s="34">
        <f>COUNTIFS(D:D,L10,G:G,"Empate")</f>
        <v/>
      </c>
      <c r="X10" s="34">
        <f>COUNTIFS(C:C,L10,G:G,"Visitante")</f>
        <v/>
      </c>
      <c r="Y10" s="34">
        <f>COUNTIFS(D:D,L10,G:G,"Local")</f>
        <v/>
      </c>
      <c r="Z10" s="34">
        <f>SUMIF(C:C,L10,E:E)</f>
        <v/>
      </c>
      <c r="AA10" s="34">
        <f>SUMIF(D:D,L10,F:F)</f>
        <v/>
      </c>
      <c r="AB10" s="34">
        <f>SUMIF(C:C,L10,F:F)</f>
        <v/>
      </c>
      <c r="AC10" s="9">
        <f>SUMIF(D:D,L10,E:E)</f>
        <v/>
      </c>
    </row>
    <row r="11">
      <c r="A11" s="34" t="n">
        <v>10</v>
      </c>
      <c r="B11" s="34" t="inlineStr">
        <is>
          <t>B</t>
        </is>
      </c>
      <c r="C11" s="34" t="inlineStr">
        <is>
          <t>Canadá</t>
        </is>
      </c>
      <c r="D11" s="34" t="inlineStr">
        <is>
          <t>Catar</t>
        </is>
      </c>
      <c r="E11" s="3" t="n">
        <v>3</v>
      </c>
      <c r="F11" s="3" t="n">
        <v>1</v>
      </c>
      <c r="G11" s="34">
        <f>IF(E11&gt;F11,"Local",IF(E11=F11,"Empate","Visitante"))</f>
        <v/>
      </c>
      <c r="H11" s="1">
        <f>E11-F11</f>
        <v/>
      </c>
      <c r="J11" s="33" t="n"/>
      <c r="K11" s="10" t="n">
        <v>4</v>
      </c>
      <c r="L11" s="4" t="inlineStr">
        <is>
          <t>Catar</t>
        </is>
      </c>
      <c r="M11" s="11">
        <f>(Q11*3)+R11</f>
        <v/>
      </c>
      <c r="N11" s="11">
        <f>O11-P11</f>
        <v/>
      </c>
      <c r="O11" s="11">
        <f>Z11+AA11</f>
        <v/>
      </c>
      <c r="P11" s="11">
        <f>AB11+AC11</f>
        <v/>
      </c>
      <c r="Q11" s="4">
        <f>T11+U11</f>
        <v/>
      </c>
      <c r="R11" s="4">
        <f>V11+W11</f>
        <v/>
      </c>
      <c r="S11" s="4">
        <f>X11+Y11</f>
        <v/>
      </c>
      <c r="T11" s="4">
        <f>COUNTIFS(C:C,L11,G:G,"Local")</f>
        <v/>
      </c>
      <c r="U11" s="4">
        <f>COUNTIFS(D:D,L11,G:G,"Visitante")</f>
        <v/>
      </c>
      <c r="V11" s="4">
        <f>COUNTIFS(C:C,L11,G:G,"Empate")</f>
        <v/>
      </c>
      <c r="W11" s="4">
        <f>COUNTIFS(D:D,L11,G:G,"Empate")</f>
        <v/>
      </c>
      <c r="X11" s="4">
        <f>COUNTIFS(C:C,L11,G:G,"Visitante")</f>
        <v/>
      </c>
      <c r="Y11" s="4">
        <f>COUNTIFS(D:D,L11,G:G,"Local")</f>
        <v/>
      </c>
      <c r="Z11" s="4">
        <f>SUMIF(C:C,L11,E:E)</f>
        <v/>
      </c>
      <c r="AA11" s="4">
        <f>SUMIF(D:D,L11,F:F)</f>
        <v/>
      </c>
      <c r="AB11" s="4">
        <f>SUMIF(C:C,L11,F:F)</f>
        <v/>
      </c>
      <c r="AC11" s="12">
        <f>SUMIF(D:D,L11,E:E)</f>
        <v/>
      </c>
    </row>
    <row r="12">
      <c r="A12" s="34" t="n">
        <v>11</v>
      </c>
      <c r="B12" s="34" t="inlineStr">
        <is>
          <t>B</t>
        </is>
      </c>
      <c r="C12" s="34" t="inlineStr">
        <is>
          <t>Suiza</t>
        </is>
      </c>
      <c r="D12" s="34" t="inlineStr">
        <is>
          <t>Canadá</t>
        </is>
      </c>
      <c r="E12" s="3" t="n">
        <v>1</v>
      </c>
      <c r="F12" s="3" t="n">
        <v>0</v>
      </c>
      <c r="G12" s="34">
        <f>IF(E12&gt;F12,"Local",IF(E12=F12,"Empate","Visitante"))</f>
        <v/>
      </c>
      <c r="H12" s="1">
        <f>E12-F12</f>
        <v/>
      </c>
    </row>
    <row r="13">
      <c r="A13" s="34" t="n">
        <v>12</v>
      </c>
      <c r="B13" s="34" t="inlineStr">
        <is>
          <t>B</t>
        </is>
      </c>
      <c r="C13" s="34" t="inlineStr">
        <is>
          <t>Bosnia y Herzegovina</t>
        </is>
      </c>
      <c r="D13" s="34" t="inlineStr">
        <is>
          <t>Catar</t>
        </is>
      </c>
      <c r="E13" s="3" t="n">
        <v>1</v>
      </c>
      <c r="F13" s="3" t="n">
        <v>0</v>
      </c>
      <c r="G13" s="34">
        <f>IF(E13&gt;F13,"Local",IF(E13=F13,"Empate","Visitante"))</f>
        <v/>
      </c>
      <c r="H13" s="1">
        <f>E13-F13</f>
        <v/>
      </c>
      <c r="J13" s="6" t="inlineStr">
        <is>
          <t>Grupo</t>
        </is>
      </c>
      <c r="K13" s="7" t="inlineStr">
        <is>
          <t>Posición</t>
        </is>
      </c>
      <c r="L13" s="34" t="inlineStr">
        <is>
          <t>Equipo</t>
        </is>
      </c>
      <c r="M13" s="34" t="inlineStr">
        <is>
          <t>Puntos</t>
        </is>
      </c>
      <c r="N13" s="34" t="inlineStr">
        <is>
          <t>Diferencia</t>
        </is>
      </c>
      <c r="O13" s="34" t="inlineStr">
        <is>
          <t>GF</t>
        </is>
      </c>
      <c r="P13" s="5" t="inlineStr">
        <is>
          <t>GC</t>
        </is>
      </c>
      <c r="Q13" s="5" t="inlineStr">
        <is>
          <t>Victorias</t>
        </is>
      </c>
      <c r="R13" s="5" t="inlineStr">
        <is>
          <t>Empates</t>
        </is>
      </c>
      <c r="S13" s="5" t="inlineStr">
        <is>
          <t>Derrotas</t>
        </is>
      </c>
      <c r="T13" s="5" t="inlineStr">
        <is>
          <t>Victorias_L</t>
        </is>
      </c>
      <c r="U13" s="5" t="inlineStr">
        <is>
          <t>Victorias_V</t>
        </is>
      </c>
      <c r="V13" s="5" t="inlineStr">
        <is>
          <t>Empates_L</t>
        </is>
      </c>
      <c r="W13" s="5" t="inlineStr">
        <is>
          <t>Empates_V</t>
        </is>
      </c>
      <c r="X13" s="5" t="inlineStr">
        <is>
          <t>Derrotas_L</t>
        </is>
      </c>
      <c r="Y13" s="5" t="inlineStr">
        <is>
          <t>Derrotas_V</t>
        </is>
      </c>
      <c r="Z13" s="5" t="inlineStr">
        <is>
          <t>GF_L</t>
        </is>
      </c>
      <c r="AA13" s="5" t="inlineStr">
        <is>
          <t>GF_V</t>
        </is>
      </c>
      <c r="AB13" s="5" t="inlineStr">
        <is>
          <t>GC_L</t>
        </is>
      </c>
      <c r="AC13" s="7" t="inlineStr">
        <is>
          <t>GC_V</t>
        </is>
      </c>
    </row>
    <row r="14">
      <c r="A14" s="34" t="n">
        <v>13</v>
      </c>
      <c r="B14" s="34" t="inlineStr">
        <is>
          <t>C</t>
        </is>
      </c>
      <c r="C14" s="34" t="inlineStr">
        <is>
          <t>Brasil</t>
        </is>
      </c>
      <c r="D14" s="34" t="inlineStr">
        <is>
          <t>Marruecos</t>
        </is>
      </c>
      <c r="E14" s="3" t="n">
        <v>2</v>
      </c>
      <c r="F14" s="3" t="n">
        <v>0</v>
      </c>
      <c r="G14" s="34">
        <f>IF(E14&gt;F14,"Local",IF(E14=F14,"Empate","Visitante"))</f>
        <v/>
      </c>
      <c r="H14" s="1">
        <f>E14-F14</f>
        <v/>
      </c>
      <c r="J14" s="34" t="inlineStr">
        <is>
          <t>C</t>
        </is>
      </c>
      <c r="K14" s="8" t="n">
        <v>1</v>
      </c>
      <c r="L14" s="34" t="inlineStr">
        <is>
          <t>Brasil</t>
        </is>
      </c>
      <c r="M14" s="3">
        <f>(Q14*3)+R14</f>
        <v/>
      </c>
      <c r="N14" s="3">
        <f>O14-P14</f>
        <v/>
      </c>
      <c r="O14" s="3">
        <f>Z14+AA14</f>
        <v/>
      </c>
      <c r="P14" s="3">
        <f>AB14+AC14</f>
        <v/>
      </c>
      <c r="Q14" s="34">
        <f>T14+U14</f>
        <v/>
      </c>
      <c r="R14" s="34">
        <f>V14+W14</f>
        <v/>
      </c>
      <c r="S14" s="34">
        <f>X14+Y14</f>
        <v/>
      </c>
      <c r="T14" s="34">
        <f>COUNTIFS(C:C,L14,G:G,"Local")</f>
        <v/>
      </c>
      <c r="U14" s="34">
        <f>COUNTIFS(D:D,L14,G:G,"Visitante")</f>
        <v/>
      </c>
      <c r="V14" s="34">
        <f>COUNTIFS(C:C,L14,G:G,"Empate")</f>
        <v/>
      </c>
      <c r="W14" s="34">
        <f>COUNTIFS(D:D,L14,G:G,"Empate")</f>
        <v/>
      </c>
      <c r="X14" s="34">
        <f>COUNTIFS(C:C,L14,G:G,"Visitante")</f>
        <v/>
      </c>
      <c r="Y14" s="34">
        <f>COUNTIFS(D:D,L14,G:G,"Local")</f>
        <v/>
      </c>
      <c r="Z14" s="34">
        <f>SUMIF(C:C,L14,E:E)</f>
        <v/>
      </c>
      <c r="AA14" s="34">
        <f>SUMIF(D:D,L14,F:F)</f>
        <v/>
      </c>
      <c r="AB14" s="34">
        <f>SUMIF(C:C,L14,F:F)</f>
        <v/>
      </c>
      <c r="AC14" s="9">
        <f>SUMIF(D:D,L14,E:E)</f>
        <v/>
      </c>
    </row>
    <row r="15">
      <c r="A15" s="34" t="n">
        <v>14</v>
      </c>
      <c r="B15" s="34" t="inlineStr">
        <is>
          <t>C</t>
        </is>
      </c>
      <c r="C15" s="34" t="inlineStr">
        <is>
          <t>Haití</t>
        </is>
      </c>
      <c r="D15" s="34" t="inlineStr">
        <is>
          <t>Escocia</t>
        </is>
      </c>
      <c r="E15" s="3" t="n">
        <v>0</v>
      </c>
      <c r="F15" s="3" t="n">
        <v>3</v>
      </c>
      <c r="G15" s="34">
        <f>IF(E15&gt;F15,"Local",IF(E15=F15,"Empate","Visitante"))</f>
        <v/>
      </c>
      <c r="H15" s="1">
        <f>E15-F15</f>
        <v/>
      </c>
      <c r="J15" s="32" t="n"/>
      <c r="K15" s="8" t="n">
        <v>2</v>
      </c>
      <c r="L15" s="34" t="inlineStr">
        <is>
          <t>Marruecos</t>
        </is>
      </c>
      <c r="M15" s="3">
        <f>(Q15*3)+R15</f>
        <v/>
      </c>
      <c r="N15" s="3">
        <f>O15-P15</f>
        <v/>
      </c>
      <c r="O15" s="3">
        <f>Z15+AA15</f>
        <v/>
      </c>
      <c r="P15" s="3">
        <f>AB15+AC15</f>
        <v/>
      </c>
      <c r="Q15" s="34">
        <f>T15+U15</f>
        <v/>
      </c>
      <c r="R15" s="34">
        <f>V15+W15</f>
        <v/>
      </c>
      <c r="S15" s="34">
        <f>X15+Y15</f>
        <v/>
      </c>
      <c r="T15" s="34">
        <f>COUNTIFS(C:C,L15,G:G,"Local")</f>
        <v/>
      </c>
      <c r="U15" s="34">
        <f>COUNTIFS(D:D,L15,G:G,"Visitante")</f>
        <v/>
      </c>
      <c r="V15" s="34">
        <f>COUNTIFS(C:C,L15,G:G,"Empate")</f>
        <v/>
      </c>
      <c r="W15" s="34">
        <f>COUNTIFS(D:D,L15,G:G,"Empate")</f>
        <v/>
      </c>
      <c r="X15" s="34">
        <f>COUNTIFS(C:C,L15,G:G,"Visitante")</f>
        <v/>
      </c>
      <c r="Y15" s="34">
        <f>COUNTIFS(D:D,L15,G:G,"Local")</f>
        <v/>
      </c>
      <c r="Z15" s="34">
        <f>SUMIF(C:C,L15,E:E)</f>
        <v/>
      </c>
      <c r="AA15" s="34">
        <f>SUMIF(D:D,L15,F:F)</f>
        <v/>
      </c>
      <c r="AB15" s="34">
        <f>SUMIF(C:C,L15,F:F)</f>
        <v/>
      </c>
      <c r="AC15" s="9">
        <f>SUMIF(D:D,L15,E:E)</f>
        <v/>
      </c>
    </row>
    <row r="16">
      <c r="A16" s="34" t="n">
        <v>15</v>
      </c>
      <c r="B16" s="34" t="inlineStr">
        <is>
          <t>C</t>
        </is>
      </c>
      <c r="C16" s="34" t="inlineStr">
        <is>
          <t>Escocia</t>
        </is>
      </c>
      <c r="D16" s="34" t="inlineStr">
        <is>
          <t>Marruecos</t>
        </is>
      </c>
      <c r="E16" s="3" t="n">
        <v>1</v>
      </c>
      <c r="F16" s="3" t="n">
        <v>4</v>
      </c>
      <c r="G16" s="34">
        <f>IF(E16&gt;F16,"Local",IF(E16=F16,"Empate","Visitante"))</f>
        <v/>
      </c>
      <c r="H16" s="1">
        <f>E16-F16</f>
        <v/>
      </c>
      <c r="J16" s="32" t="n"/>
      <c r="K16" s="8" t="n">
        <v>3</v>
      </c>
      <c r="L16" s="34" t="inlineStr">
        <is>
          <t>Escocia</t>
        </is>
      </c>
      <c r="M16" s="3">
        <f>(Q16*3)+R16</f>
        <v/>
      </c>
      <c r="N16" s="3">
        <f>O16-P16</f>
        <v/>
      </c>
      <c r="O16" s="3">
        <f>Z16+AA16</f>
        <v/>
      </c>
      <c r="P16" s="3">
        <f>AB16+AC16</f>
        <v/>
      </c>
      <c r="Q16" s="34">
        <f>T16+U16</f>
        <v/>
      </c>
      <c r="R16" s="34">
        <f>V16+W16</f>
        <v/>
      </c>
      <c r="S16" s="34">
        <f>X16+Y16</f>
        <v/>
      </c>
      <c r="T16" s="34">
        <f>COUNTIFS(C:C,L16,G:G,"Local")</f>
        <v/>
      </c>
      <c r="U16" s="34">
        <f>COUNTIFS(D:D,L16,G:G,"Visitante")</f>
        <v/>
      </c>
      <c r="V16" s="34">
        <f>COUNTIFS(C:C,L16,G:G,"Empate")</f>
        <v/>
      </c>
      <c r="W16" s="34">
        <f>COUNTIFS(D:D,L16,G:G,"Empate")</f>
        <v/>
      </c>
      <c r="X16" s="34">
        <f>COUNTIFS(C:C,L16,G:G,"Visitante")</f>
        <v/>
      </c>
      <c r="Y16" s="34">
        <f>COUNTIFS(D:D,L16,G:G,"Local")</f>
        <v/>
      </c>
      <c r="Z16" s="34">
        <f>SUMIF(C:C,L16,E:E)</f>
        <v/>
      </c>
      <c r="AA16" s="34">
        <f>SUMIF(D:D,L16,F:F)</f>
        <v/>
      </c>
      <c r="AB16" s="34">
        <f>SUMIF(C:C,L16,F:F)</f>
        <v/>
      </c>
      <c r="AC16" s="9">
        <f>SUMIF(D:D,L16,E:E)</f>
        <v/>
      </c>
    </row>
    <row r="17">
      <c r="A17" s="34" t="n">
        <v>16</v>
      </c>
      <c r="B17" s="34" t="inlineStr">
        <is>
          <t>C</t>
        </is>
      </c>
      <c r="C17" s="34" t="inlineStr">
        <is>
          <t>Brasil</t>
        </is>
      </c>
      <c r="D17" s="34" t="inlineStr">
        <is>
          <t>Haití</t>
        </is>
      </c>
      <c r="E17" s="3" t="n">
        <v>5</v>
      </c>
      <c r="F17" s="3" t="n">
        <v>0</v>
      </c>
      <c r="G17" s="34">
        <f>IF(E17&gt;F17,"Local",IF(E17=F17,"Empate","Visitante"))</f>
        <v/>
      </c>
      <c r="H17" s="1">
        <f>E17-F17</f>
        <v/>
      </c>
      <c r="J17" s="33" t="n"/>
      <c r="K17" s="10" t="n">
        <v>4</v>
      </c>
      <c r="L17" s="4" t="inlineStr">
        <is>
          <t>Haití</t>
        </is>
      </c>
      <c r="M17" s="11">
        <f>(Q17*3)+R17</f>
        <v/>
      </c>
      <c r="N17" s="11">
        <f>O17-P17</f>
        <v/>
      </c>
      <c r="O17" s="11">
        <f>Z17+AA17</f>
        <v/>
      </c>
      <c r="P17" s="11">
        <f>AB17+AC17</f>
        <v/>
      </c>
      <c r="Q17" s="4">
        <f>T17+U17</f>
        <v/>
      </c>
      <c r="R17" s="4">
        <f>V17+W17</f>
        <v/>
      </c>
      <c r="S17" s="4">
        <f>X17+Y17</f>
        <v/>
      </c>
      <c r="T17" s="4">
        <f>COUNTIFS(C:C,L17,G:G,"Local")</f>
        <v/>
      </c>
      <c r="U17" s="4">
        <f>COUNTIFS(D:D,L17,G:G,"Visitante")</f>
        <v/>
      </c>
      <c r="V17" s="4">
        <f>COUNTIFS(C:C,L17,G:G,"Empate")</f>
        <v/>
      </c>
      <c r="W17" s="4">
        <f>COUNTIFS(D:D,L17,G:G,"Empate")</f>
        <v/>
      </c>
      <c r="X17" s="4">
        <f>COUNTIFS(C:C,L17,G:G,"Visitante")</f>
        <v/>
      </c>
      <c r="Y17" s="4">
        <f>COUNTIFS(D:D,L17,G:G,"Local")</f>
        <v/>
      </c>
      <c r="Z17" s="4">
        <f>SUMIF(C:C,L17,E:E)</f>
        <v/>
      </c>
      <c r="AA17" s="4">
        <f>SUMIF(D:D,L17,F:F)</f>
        <v/>
      </c>
      <c r="AB17" s="4">
        <f>SUMIF(C:C,L17,F:F)</f>
        <v/>
      </c>
      <c r="AC17" s="12">
        <f>SUMIF(D:D,L17,E:E)</f>
        <v/>
      </c>
    </row>
    <row r="18">
      <c r="A18" s="34" t="n">
        <v>17</v>
      </c>
      <c r="B18" s="34" t="inlineStr">
        <is>
          <t>C</t>
        </is>
      </c>
      <c r="C18" s="34" t="inlineStr">
        <is>
          <t>Escocia</t>
        </is>
      </c>
      <c r="D18" s="34" t="inlineStr">
        <is>
          <t>Brasil</t>
        </is>
      </c>
      <c r="E18" s="3" t="n">
        <v>2</v>
      </c>
      <c r="F18" s="3" t="n">
        <v>3</v>
      </c>
      <c r="G18" s="34">
        <f>IF(E18&gt;F18,"Local",IF(E18=F18,"Empate","Visitante"))</f>
        <v/>
      </c>
      <c r="H18" s="1">
        <f>E18-F18</f>
        <v/>
      </c>
    </row>
    <row r="19">
      <c r="A19" s="34" t="n">
        <v>18</v>
      </c>
      <c r="B19" s="34" t="inlineStr">
        <is>
          <t>C</t>
        </is>
      </c>
      <c r="C19" s="34" t="inlineStr">
        <is>
          <t>Marruecos</t>
        </is>
      </c>
      <c r="D19" s="34" t="inlineStr">
        <is>
          <t>Haití</t>
        </is>
      </c>
      <c r="E19" s="3" t="n">
        <v>3</v>
      </c>
      <c r="F19" s="3" t="n">
        <v>0</v>
      </c>
      <c r="G19" s="34">
        <f>IF(E19&gt;F19,"Local",IF(E19=F19,"Empate","Visitante"))</f>
        <v/>
      </c>
      <c r="H19" s="1">
        <f>E19-F19</f>
        <v/>
      </c>
      <c r="J19" s="6" t="inlineStr">
        <is>
          <t>Grupo</t>
        </is>
      </c>
      <c r="K19" s="7" t="inlineStr">
        <is>
          <t>Posición</t>
        </is>
      </c>
      <c r="L19" s="34" t="inlineStr">
        <is>
          <t>Equipo</t>
        </is>
      </c>
      <c r="M19" s="34" t="inlineStr">
        <is>
          <t>Puntos</t>
        </is>
      </c>
      <c r="N19" s="34" t="inlineStr">
        <is>
          <t>Diferencia</t>
        </is>
      </c>
      <c r="O19" s="34" t="inlineStr">
        <is>
          <t>GF</t>
        </is>
      </c>
      <c r="P19" s="5" t="inlineStr">
        <is>
          <t>GC</t>
        </is>
      </c>
      <c r="Q19" s="5" t="inlineStr">
        <is>
          <t>Victorias</t>
        </is>
      </c>
      <c r="R19" s="5" t="inlineStr">
        <is>
          <t>Empates</t>
        </is>
      </c>
      <c r="S19" s="5" t="inlineStr">
        <is>
          <t>Derrotas</t>
        </is>
      </c>
      <c r="T19" s="5" t="inlineStr">
        <is>
          <t>Victorias_L</t>
        </is>
      </c>
      <c r="U19" s="5" t="inlineStr">
        <is>
          <t>Victorias_V</t>
        </is>
      </c>
      <c r="V19" s="5" t="inlineStr">
        <is>
          <t>Empates_L</t>
        </is>
      </c>
      <c r="W19" s="5" t="inlineStr">
        <is>
          <t>Empates_V</t>
        </is>
      </c>
      <c r="X19" s="5" t="inlineStr">
        <is>
          <t>Derrotas_L</t>
        </is>
      </c>
      <c r="Y19" s="5" t="inlineStr">
        <is>
          <t>Derrotas_V</t>
        </is>
      </c>
      <c r="Z19" s="5" t="inlineStr">
        <is>
          <t>GF_L</t>
        </is>
      </c>
      <c r="AA19" s="5" t="inlineStr">
        <is>
          <t>GF_V</t>
        </is>
      </c>
      <c r="AB19" s="5" t="inlineStr">
        <is>
          <t>GC_L</t>
        </is>
      </c>
      <c r="AC19" s="7" t="inlineStr">
        <is>
          <t>GC_V</t>
        </is>
      </c>
    </row>
    <row r="20">
      <c r="A20" s="34" t="n">
        <v>19</v>
      </c>
      <c r="B20" s="34" t="inlineStr">
        <is>
          <t>D</t>
        </is>
      </c>
      <c r="C20" s="34" t="inlineStr">
        <is>
          <t>Estados Unidos</t>
        </is>
      </c>
      <c r="D20" s="34" t="inlineStr">
        <is>
          <t>Paraguay</t>
        </is>
      </c>
      <c r="E20" s="3" t="n">
        <v>2</v>
      </c>
      <c r="F20" s="3" t="n">
        <v>0</v>
      </c>
      <c r="G20" s="34">
        <f>IF(E20&gt;F20,"Local",IF(E20=F20,"Empate","Visitante"))</f>
        <v/>
      </c>
      <c r="H20" s="1">
        <f>E20-F20</f>
        <v/>
      </c>
      <c r="J20" s="34" t="inlineStr">
        <is>
          <t>D</t>
        </is>
      </c>
      <c r="K20" s="8" t="n">
        <v>1</v>
      </c>
      <c r="L20" s="34" t="inlineStr">
        <is>
          <t>Turquía</t>
        </is>
      </c>
      <c r="M20" s="3">
        <f>(Q20*3)+R20</f>
        <v/>
      </c>
      <c r="N20" s="3">
        <f>O20-P20</f>
        <v/>
      </c>
      <c r="O20" s="3">
        <f>Z20+AA20</f>
        <v/>
      </c>
      <c r="P20" s="3">
        <f>AB20+AC20</f>
        <v/>
      </c>
      <c r="Q20" s="34">
        <f>T20+U20</f>
        <v/>
      </c>
      <c r="R20" s="34">
        <f>V20+W20</f>
        <v/>
      </c>
      <c r="S20" s="34">
        <f>X20+Y20</f>
        <v/>
      </c>
      <c r="T20" s="34">
        <f>COUNTIFS(C:C,L20,G:G,"Local")</f>
        <v/>
      </c>
      <c r="U20" s="34">
        <f>COUNTIFS(D:D,L20,G:G,"Visitante")</f>
        <v/>
      </c>
      <c r="V20" s="34">
        <f>COUNTIFS(C:C,L20,G:G,"Empate")</f>
        <v/>
      </c>
      <c r="W20" s="34">
        <f>COUNTIFS(D:D,L20,G:G,"Empate")</f>
        <v/>
      </c>
      <c r="X20" s="34">
        <f>COUNTIFS(C:C,L20,G:G,"Visitante")</f>
        <v/>
      </c>
      <c r="Y20" s="34">
        <f>COUNTIFS(D:D,L20,G:G,"Local")</f>
        <v/>
      </c>
      <c r="Z20" s="34">
        <f>SUMIF(C:C,L20,E:E)</f>
        <v/>
      </c>
      <c r="AA20" s="34">
        <f>SUMIF(D:D,L20,F:F)</f>
        <v/>
      </c>
      <c r="AB20" s="34">
        <f>SUMIF(C:C,L20,F:F)</f>
        <v/>
      </c>
      <c r="AC20" s="9">
        <f>SUMIF(D:D,L20,E:E)</f>
        <v/>
      </c>
    </row>
    <row r="21">
      <c r="A21" s="34" t="n">
        <v>20</v>
      </c>
      <c r="B21" s="34" t="inlineStr">
        <is>
          <t>D</t>
        </is>
      </c>
      <c r="C21" s="34" t="inlineStr">
        <is>
          <t>Australia</t>
        </is>
      </c>
      <c r="D21" s="34" t="inlineStr">
        <is>
          <t>Turquía</t>
        </is>
      </c>
      <c r="E21" s="3" t="n">
        <v>1</v>
      </c>
      <c r="F21" s="3" t="n">
        <v>3</v>
      </c>
      <c r="G21" s="34">
        <f>IF(E21&gt;F21,"Local",IF(E21=F21,"Empate","Visitante"))</f>
        <v/>
      </c>
      <c r="H21" s="1">
        <f>E21-F21</f>
        <v/>
      </c>
      <c r="J21" s="32" t="n"/>
      <c r="K21" s="8" t="n">
        <v>2</v>
      </c>
      <c r="L21" s="34" t="inlineStr">
        <is>
          <t>Estados Unidos</t>
        </is>
      </c>
      <c r="M21" s="3">
        <f>(Q21*3)+R21</f>
        <v/>
      </c>
      <c r="N21" s="3">
        <f>O21-P21</f>
        <v/>
      </c>
      <c r="O21" s="3">
        <f>Z21+AA21</f>
        <v/>
      </c>
      <c r="P21" s="3">
        <f>AB21+AC21</f>
        <v/>
      </c>
      <c r="Q21" s="34">
        <f>T21+U21</f>
        <v/>
      </c>
      <c r="R21" s="34">
        <f>V21+W21</f>
        <v/>
      </c>
      <c r="S21" s="34">
        <f>X21+Y21</f>
        <v/>
      </c>
      <c r="T21" s="34">
        <f>COUNTIFS(C:C,L21,G:G,"Local")</f>
        <v/>
      </c>
      <c r="U21" s="34">
        <f>COUNTIFS(D:D,L21,G:G,"Visitante")</f>
        <v/>
      </c>
      <c r="V21" s="34">
        <f>COUNTIFS(C:C,L21,G:G,"Empate")</f>
        <v/>
      </c>
      <c r="W21" s="34">
        <f>COUNTIFS(D:D,L21,G:G,"Empate")</f>
        <v/>
      </c>
      <c r="X21" s="34">
        <f>COUNTIFS(C:C,L21,G:G,"Visitante")</f>
        <v/>
      </c>
      <c r="Y21" s="34">
        <f>COUNTIFS(D:D,L21,G:G,"Local")</f>
        <v/>
      </c>
      <c r="Z21" s="34">
        <f>SUMIF(C:C,L21,E:E)</f>
        <v/>
      </c>
      <c r="AA21" s="34">
        <f>SUMIF(D:D,L21,F:F)</f>
        <v/>
      </c>
      <c r="AB21" s="34">
        <f>SUMIF(C:C,L21,F:F)</f>
        <v/>
      </c>
      <c r="AC21" s="9">
        <f>SUMIF(D:D,L21,E:E)</f>
        <v/>
      </c>
    </row>
    <row r="22">
      <c r="A22" s="34" t="n">
        <v>21</v>
      </c>
      <c r="B22" s="34" t="inlineStr">
        <is>
          <t>D</t>
        </is>
      </c>
      <c r="C22" s="34" t="inlineStr">
        <is>
          <t>Estados Unidos</t>
        </is>
      </c>
      <c r="D22" s="34" t="inlineStr">
        <is>
          <t>Australia</t>
        </is>
      </c>
      <c r="E22" s="3" t="n">
        <v>2</v>
      </c>
      <c r="F22" s="3" t="n">
        <v>2</v>
      </c>
      <c r="G22" s="34">
        <f>IF(E22&gt;F22,"Local",IF(E22=F22,"Empate","Visitante"))</f>
        <v/>
      </c>
      <c r="H22" s="1">
        <f>E22-F22</f>
        <v/>
      </c>
      <c r="J22" s="32" t="n"/>
      <c r="K22" s="8" t="n">
        <v>3</v>
      </c>
      <c r="L22" s="34" t="inlineStr">
        <is>
          <t>Australia</t>
        </is>
      </c>
      <c r="M22" s="3">
        <f>(Q22*3)+R22</f>
        <v/>
      </c>
      <c r="N22" s="3">
        <f>O22-P22</f>
        <v/>
      </c>
      <c r="O22" s="3">
        <f>Z22+AA22</f>
        <v/>
      </c>
      <c r="P22" s="3">
        <f>AB22+AC22</f>
        <v/>
      </c>
      <c r="Q22" s="34">
        <f>T22+U22</f>
        <v/>
      </c>
      <c r="R22" s="34">
        <f>V22+W22</f>
        <v/>
      </c>
      <c r="S22" s="34">
        <f>X22+Y22</f>
        <v/>
      </c>
      <c r="T22" s="34">
        <f>COUNTIFS(C:C,L22,G:G,"Local")</f>
        <v/>
      </c>
      <c r="U22" s="34">
        <f>COUNTIFS(D:D,L22,G:G,"Visitante")</f>
        <v/>
      </c>
      <c r="V22" s="34">
        <f>COUNTIFS(C:C,L22,G:G,"Empate")</f>
        <v/>
      </c>
      <c r="W22" s="34">
        <f>COUNTIFS(D:D,L22,G:G,"Empate")</f>
        <v/>
      </c>
      <c r="X22" s="34">
        <f>COUNTIFS(C:C,L22,G:G,"Visitante")</f>
        <v/>
      </c>
      <c r="Y22" s="34">
        <f>COUNTIFS(D:D,L22,G:G,"Local")</f>
        <v/>
      </c>
      <c r="Z22" s="34">
        <f>SUMIF(C:C,L22,E:E)</f>
        <v/>
      </c>
      <c r="AA22" s="34">
        <f>SUMIF(D:D,L22,F:F)</f>
        <v/>
      </c>
      <c r="AB22" s="34">
        <f>SUMIF(C:C,L22,F:F)</f>
        <v/>
      </c>
      <c r="AC22" s="9">
        <f>SUMIF(D:D,L22,E:E)</f>
        <v/>
      </c>
    </row>
    <row r="23">
      <c r="A23" s="34" t="n">
        <v>22</v>
      </c>
      <c r="B23" s="34" t="inlineStr">
        <is>
          <t>D</t>
        </is>
      </c>
      <c r="C23" s="34" t="inlineStr">
        <is>
          <t>Turquía</t>
        </is>
      </c>
      <c r="D23" s="34" t="inlineStr">
        <is>
          <t>Paraguay</t>
        </is>
      </c>
      <c r="E23" s="3" t="n">
        <v>3</v>
      </c>
      <c r="F23" s="3" t="n">
        <v>1</v>
      </c>
      <c r="G23" s="34">
        <f>IF(E23&gt;F23,"Local",IF(E23=F23,"Empate","Visitante"))</f>
        <v/>
      </c>
      <c r="H23" s="1">
        <f>E23-F23</f>
        <v/>
      </c>
      <c r="J23" s="33" t="n"/>
      <c r="K23" s="10" t="n">
        <v>4</v>
      </c>
      <c r="L23" s="4" t="inlineStr">
        <is>
          <t>Paraguay</t>
        </is>
      </c>
      <c r="M23" s="11">
        <f>(Q23*3)+R23</f>
        <v/>
      </c>
      <c r="N23" s="11">
        <f>O23-P23</f>
        <v/>
      </c>
      <c r="O23" s="11">
        <f>Z23+AA23</f>
        <v/>
      </c>
      <c r="P23" s="11">
        <f>AB23+AC23</f>
        <v/>
      </c>
      <c r="Q23" s="4">
        <f>T23+U23</f>
        <v/>
      </c>
      <c r="R23" s="4">
        <f>V23+W23</f>
        <v/>
      </c>
      <c r="S23" s="4">
        <f>X23+Y23</f>
        <v/>
      </c>
      <c r="T23" s="4">
        <f>COUNTIFS(C:C,L23,G:G,"Local")</f>
        <v/>
      </c>
      <c r="U23" s="4">
        <f>COUNTIFS(D:D,L23,G:G,"Visitante")</f>
        <v/>
      </c>
      <c r="V23" s="4">
        <f>COUNTIFS(C:C,L23,G:G,"Empate")</f>
        <v/>
      </c>
      <c r="W23" s="4">
        <f>COUNTIFS(D:D,L23,G:G,"Empate")</f>
        <v/>
      </c>
      <c r="X23" s="4">
        <f>COUNTIFS(C:C,L23,G:G,"Visitante")</f>
        <v/>
      </c>
      <c r="Y23" s="4">
        <f>COUNTIFS(D:D,L23,G:G,"Local")</f>
        <v/>
      </c>
      <c r="Z23" s="4">
        <f>SUMIF(C:C,L23,E:E)</f>
        <v/>
      </c>
      <c r="AA23" s="4">
        <f>SUMIF(D:D,L23,F:F)</f>
        <v/>
      </c>
      <c r="AB23" s="4">
        <f>SUMIF(C:C,L23,F:F)</f>
        <v/>
      </c>
      <c r="AC23" s="12">
        <f>SUMIF(D:D,L23,E:E)</f>
        <v/>
      </c>
    </row>
    <row r="24">
      <c r="A24" s="34" t="n">
        <v>23</v>
      </c>
      <c r="B24" s="34" t="inlineStr">
        <is>
          <t>D</t>
        </is>
      </c>
      <c r="C24" s="34" t="inlineStr">
        <is>
          <t>Turquía</t>
        </is>
      </c>
      <c r="D24" s="34" t="inlineStr">
        <is>
          <t>Estados Unidos</t>
        </is>
      </c>
      <c r="E24" s="3" t="n">
        <v>2</v>
      </c>
      <c r="F24" s="3" t="n">
        <v>1</v>
      </c>
      <c r="G24" s="34">
        <f>IF(E24&gt;F24,"Local",IF(E24=F24,"Empate","Visitante"))</f>
        <v/>
      </c>
      <c r="H24" s="1">
        <f>E24-F24</f>
        <v/>
      </c>
    </row>
    <row r="25">
      <c r="A25" s="34" t="n">
        <v>24</v>
      </c>
      <c r="B25" s="34" t="inlineStr">
        <is>
          <t>D</t>
        </is>
      </c>
      <c r="C25" s="34" t="inlineStr">
        <is>
          <t>Paraguay</t>
        </is>
      </c>
      <c r="D25" s="34" t="inlineStr">
        <is>
          <t>Australia</t>
        </is>
      </c>
      <c r="E25" s="3" t="n">
        <v>1</v>
      </c>
      <c r="F25" s="3" t="n">
        <v>1</v>
      </c>
      <c r="G25" s="34">
        <f>IF(E25&gt;F25,"Local",IF(E25=F25,"Empate","Visitante"))</f>
        <v/>
      </c>
      <c r="H25" s="1">
        <f>E25-F25</f>
        <v/>
      </c>
      <c r="J25" s="6" t="inlineStr">
        <is>
          <t>Grupo</t>
        </is>
      </c>
      <c r="K25" s="7" t="inlineStr">
        <is>
          <t>Posición</t>
        </is>
      </c>
      <c r="L25" s="34" t="inlineStr">
        <is>
          <t>Equipo</t>
        </is>
      </c>
      <c r="M25" s="34" t="inlineStr">
        <is>
          <t>Puntos</t>
        </is>
      </c>
      <c r="N25" s="34" t="inlineStr">
        <is>
          <t>Diferencia</t>
        </is>
      </c>
      <c r="O25" s="34" t="inlineStr">
        <is>
          <t>GF</t>
        </is>
      </c>
      <c r="P25" s="5" t="inlineStr">
        <is>
          <t>GC</t>
        </is>
      </c>
      <c r="Q25" s="5" t="inlineStr">
        <is>
          <t>Victorias</t>
        </is>
      </c>
      <c r="R25" s="5" t="inlineStr">
        <is>
          <t>Empates</t>
        </is>
      </c>
      <c r="S25" s="5" t="inlineStr">
        <is>
          <t>Derrotas</t>
        </is>
      </c>
      <c r="T25" s="5" t="inlineStr">
        <is>
          <t>Victorias_L</t>
        </is>
      </c>
      <c r="U25" s="5" t="inlineStr">
        <is>
          <t>Victorias_V</t>
        </is>
      </c>
      <c r="V25" s="5" t="inlineStr">
        <is>
          <t>Empates_L</t>
        </is>
      </c>
      <c r="W25" s="5" t="inlineStr">
        <is>
          <t>Empates_V</t>
        </is>
      </c>
      <c r="X25" s="5" t="inlineStr">
        <is>
          <t>Derrotas_L</t>
        </is>
      </c>
      <c r="Y25" s="5" t="inlineStr">
        <is>
          <t>Derrotas_V</t>
        </is>
      </c>
      <c r="Z25" s="5" t="inlineStr">
        <is>
          <t>GF_L</t>
        </is>
      </c>
      <c r="AA25" s="5" t="inlineStr">
        <is>
          <t>GF_V</t>
        </is>
      </c>
      <c r="AB25" s="5" t="inlineStr">
        <is>
          <t>GC_L</t>
        </is>
      </c>
      <c r="AC25" s="7" t="inlineStr">
        <is>
          <t>GC_V</t>
        </is>
      </c>
    </row>
    <row r="26">
      <c r="A26" s="34" t="n">
        <v>25</v>
      </c>
      <c r="B26" s="34" t="inlineStr">
        <is>
          <t>E</t>
        </is>
      </c>
      <c r="C26" s="34" t="inlineStr">
        <is>
          <t>Alemania</t>
        </is>
      </c>
      <c r="D26" s="34" t="inlineStr">
        <is>
          <t>Curazao</t>
        </is>
      </c>
      <c r="E26" s="3" t="n">
        <v>6</v>
      </c>
      <c r="F26" s="3" t="n">
        <v>0</v>
      </c>
      <c r="G26" s="34">
        <f>IF(E26&gt;F26,"Local",IF(E26=F26,"Empate","Visitante"))</f>
        <v/>
      </c>
      <c r="H26" s="1">
        <f>E26-F26</f>
        <v/>
      </c>
      <c r="J26" s="34" t="inlineStr">
        <is>
          <t>E</t>
        </is>
      </c>
      <c r="K26" s="8" t="n">
        <v>1</v>
      </c>
      <c r="L26" s="34" t="inlineStr">
        <is>
          <t>Alemania</t>
        </is>
      </c>
      <c r="M26" s="3">
        <f>(Q26*3)+R26</f>
        <v/>
      </c>
      <c r="N26" s="3">
        <f>O26-P26</f>
        <v/>
      </c>
      <c r="O26" s="3">
        <f>Z26+AA26</f>
        <v/>
      </c>
      <c r="P26" s="3">
        <f>AB26+AC26</f>
        <v/>
      </c>
      <c r="Q26" s="34">
        <f>T26+U26</f>
        <v/>
      </c>
      <c r="R26" s="34">
        <f>V26+W26</f>
        <v/>
      </c>
      <c r="S26" s="34">
        <f>X26+Y26</f>
        <v/>
      </c>
      <c r="T26" s="34">
        <f>COUNTIFS(C:C,L26,G:G,"Local")</f>
        <v/>
      </c>
      <c r="U26" s="34">
        <f>COUNTIFS(D:D,L26,G:G,"Visitante")</f>
        <v/>
      </c>
      <c r="V26" s="34">
        <f>COUNTIFS(C:C,L26,G:G,"Empate")</f>
        <v/>
      </c>
      <c r="W26" s="34">
        <f>COUNTIFS(D:D,L26,G:G,"Empate")</f>
        <v/>
      </c>
      <c r="X26" s="34">
        <f>COUNTIFS(C:C,L26,G:G,"Visitante")</f>
        <v/>
      </c>
      <c r="Y26" s="34">
        <f>COUNTIFS(D:D,L26,G:G,"Local")</f>
        <v/>
      </c>
      <c r="Z26" s="34">
        <f>SUMIF(C:C,L26,E:E)</f>
        <v/>
      </c>
      <c r="AA26" s="34">
        <f>SUMIF(D:D,L26,F:F)</f>
        <v/>
      </c>
      <c r="AB26" s="34">
        <f>SUMIF(C:C,L26,F:F)</f>
        <v/>
      </c>
      <c r="AC26" s="9">
        <f>SUMIF(D:D,L26,E:E)</f>
        <v/>
      </c>
    </row>
    <row r="27">
      <c r="A27" s="34" t="n">
        <v>26</v>
      </c>
      <c r="B27" s="34" t="inlineStr">
        <is>
          <t>E</t>
        </is>
      </c>
      <c r="C27" s="34" t="inlineStr">
        <is>
          <t>Costa de Marfil</t>
        </is>
      </c>
      <c r="D27" s="34" t="inlineStr">
        <is>
          <t>Ecuador</t>
        </is>
      </c>
      <c r="E27" s="3" t="n">
        <v>2</v>
      </c>
      <c r="F27" s="3" t="n">
        <v>2</v>
      </c>
      <c r="G27" s="34">
        <f>IF(E27&gt;F27,"Local",IF(E27=F27,"Empate","Visitante"))</f>
        <v/>
      </c>
      <c r="H27" s="1">
        <f>E27-F27</f>
        <v/>
      </c>
      <c r="J27" s="32" t="n"/>
      <c r="K27" s="8" t="n">
        <v>2</v>
      </c>
      <c r="L27" s="34" t="inlineStr">
        <is>
          <t>Ecuador</t>
        </is>
      </c>
      <c r="M27" s="3">
        <f>(Q27*3)+R27</f>
        <v/>
      </c>
      <c r="N27" s="3">
        <f>O27-P27</f>
        <v/>
      </c>
      <c r="O27" s="3">
        <f>Z27+AA27</f>
        <v/>
      </c>
      <c r="P27" s="3">
        <f>AB27+AC27</f>
        <v/>
      </c>
      <c r="Q27" s="34">
        <f>T27+U27</f>
        <v/>
      </c>
      <c r="R27" s="34">
        <f>V27+W27</f>
        <v/>
      </c>
      <c r="S27" s="34">
        <f>X27+Y27</f>
        <v/>
      </c>
      <c r="T27" s="34">
        <f>COUNTIFS(C:C,L27,G:G,"Local")</f>
        <v/>
      </c>
      <c r="U27" s="34">
        <f>COUNTIFS(D:D,L27,G:G,"Visitante")</f>
        <v/>
      </c>
      <c r="V27" s="34">
        <f>COUNTIFS(C:C,L27,G:G,"Empate")</f>
        <v/>
      </c>
      <c r="W27" s="34">
        <f>COUNTIFS(D:D,L27,G:G,"Empate")</f>
        <v/>
      </c>
      <c r="X27" s="34">
        <f>COUNTIFS(C:C,L27,G:G,"Visitante")</f>
        <v/>
      </c>
      <c r="Y27" s="34">
        <f>COUNTIFS(D:D,L27,G:G,"Local")</f>
        <v/>
      </c>
      <c r="Z27" s="34">
        <f>SUMIF(C:C,L27,E:E)</f>
        <v/>
      </c>
      <c r="AA27" s="34">
        <f>SUMIF(D:D,L27,F:F)</f>
        <v/>
      </c>
      <c r="AB27" s="34">
        <f>SUMIF(C:C,L27,F:F)</f>
        <v/>
      </c>
      <c r="AC27" s="9">
        <f>SUMIF(D:D,L27,E:E)</f>
        <v/>
      </c>
    </row>
    <row r="28">
      <c r="A28" s="34" t="n">
        <v>27</v>
      </c>
      <c r="B28" s="34" t="inlineStr">
        <is>
          <t>E</t>
        </is>
      </c>
      <c r="C28" s="34" t="inlineStr">
        <is>
          <t>Alemania</t>
        </is>
      </c>
      <c r="D28" s="34" t="inlineStr">
        <is>
          <t>Costa de Marfil</t>
        </is>
      </c>
      <c r="E28" s="3" t="n">
        <v>3</v>
      </c>
      <c r="F28" s="3" t="n">
        <v>1</v>
      </c>
      <c r="G28" s="34">
        <f>IF(E28&gt;F28,"Local",IF(E28=F28,"Empate","Visitante"))</f>
        <v/>
      </c>
      <c r="H28" s="1">
        <f>E28-F28</f>
        <v/>
      </c>
      <c r="J28" s="32" t="n"/>
      <c r="K28" s="8" t="n">
        <v>3</v>
      </c>
      <c r="L28" s="34" t="inlineStr">
        <is>
          <t>Costa de Marfil</t>
        </is>
      </c>
      <c r="M28" s="3">
        <f>(Q28*3)+R28</f>
        <v/>
      </c>
      <c r="N28" s="3">
        <f>O28-P28</f>
        <v/>
      </c>
      <c r="O28" s="3">
        <f>Z28+AA28</f>
        <v/>
      </c>
      <c r="P28" s="3">
        <f>AB28+AC28</f>
        <v/>
      </c>
      <c r="Q28" s="34">
        <f>T28+U28</f>
        <v/>
      </c>
      <c r="R28" s="34">
        <f>V28+W28</f>
        <v/>
      </c>
      <c r="S28" s="34">
        <f>X28+Y28</f>
        <v/>
      </c>
      <c r="T28" s="34">
        <f>COUNTIFS(C:C,L28,G:G,"Local")</f>
        <v/>
      </c>
      <c r="U28" s="34">
        <f>COUNTIFS(D:D,L28,G:G,"Visitante")</f>
        <v/>
      </c>
      <c r="V28" s="34">
        <f>COUNTIFS(C:C,L28,G:G,"Empate")</f>
        <v/>
      </c>
      <c r="W28" s="34">
        <f>COUNTIFS(D:D,L28,G:G,"Empate")</f>
        <v/>
      </c>
      <c r="X28" s="34">
        <f>COUNTIFS(C:C,L28,G:G,"Visitante")</f>
        <v/>
      </c>
      <c r="Y28" s="34">
        <f>COUNTIFS(D:D,L28,G:G,"Local")</f>
        <v/>
      </c>
      <c r="Z28" s="34">
        <f>SUMIF(C:C,L28,E:E)</f>
        <v/>
      </c>
      <c r="AA28" s="34">
        <f>SUMIF(D:D,L28,F:F)</f>
        <v/>
      </c>
      <c r="AB28" s="34">
        <f>SUMIF(C:C,L28,F:F)</f>
        <v/>
      </c>
      <c r="AC28" s="9">
        <f>SUMIF(D:D,L28,E:E)</f>
        <v/>
      </c>
    </row>
    <row r="29">
      <c r="A29" s="34" t="n">
        <v>28</v>
      </c>
      <c r="B29" s="34" t="inlineStr">
        <is>
          <t>E</t>
        </is>
      </c>
      <c r="C29" s="34" t="inlineStr">
        <is>
          <t>Ecuador</t>
        </is>
      </c>
      <c r="D29" s="34" t="inlineStr">
        <is>
          <t>Curazao</t>
        </is>
      </c>
      <c r="E29" s="3" t="n">
        <v>3</v>
      </c>
      <c r="F29" s="3" t="n">
        <v>0</v>
      </c>
      <c r="G29" s="34">
        <f>IF(E29&gt;F29,"Local",IF(E29=F29,"Empate","Visitante"))</f>
        <v/>
      </c>
      <c r="H29" s="1">
        <f>E29-F29</f>
        <v/>
      </c>
      <c r="J29" s="33" t="n"/>
      <c r="K29" s="10" t="n">
        <v>4</v>
      </c>
      <c r="L29" s="4" t="inlineStr">
        <is>
          <t>Curazao</t>
        </is>
      </c>
      <c r="M29" s="11">
        <f>(Q29*3)+R29</f>
        <v/>
      </c>
      <c r="N29" s="11">
        <f>O29-P29</f>
        <v/>
      </c>
      <c r="O29" s="11">
        <f>Z29+AA29</f>
        <v/>
      </c>
      <c r="P29" s="11">
        <f>AB29+AC29</f>
        <v/>
      </c>
      <c r="Q29" s="4">
        <f>T29+U29</f>
        <v/>
      </c>
      <c r="R29" s="4">
        <f>V29+W29</f>
        <v/>
      </c>
      <c r="S29" s="4">
        <f>X29+Y29</f>
        <v/>
      </c>
      <c r="T29" s="4">
        <f>COUNTIFS(C:C,L29,G:G,"Local")</f>
        <v/>
      </c>
      <c r="U29" s="4">
        <f>COUNTIFS(D:D,L29,G:G,"Visitante")</f>
        <v/>
      </c>
      <c r="V29" s="4">
        <f>COUNTIFS(C:C,L29,G:G,"Empate")</f>
        <v/>
      </c>
      <c r="W29" s="4">
        <f>COUNTIFS(D:D,L29,G:G,"Empate")</f>
        <v/>
      </c>
      <c r="X29" s="4">
        <f>COUNTIFS(C:C,L29,G:G,"Visitante")</f>
        <v/>
      </c>
      <c r="Y29" s="4">
        <f>COUNTIFS(D:D,L29,G:G,"Local")</f>
        <v/>
      </c>
      <c r="Z29" s="4">
        <f>SUMIF(C:C,L29,E:E)</f>
        <v/>
      </c>
      <c r="AA29" s="4">
        <f>SUMIF(D:D,L29,F:F)</f>
        <v/>
      </c>
      <c r="AB29" s="4">
        <f>SUMIF(C:C,L29,F:F)</f>
        <v/>
      </c>
      <c r="AC29" s="12">
        <f>SUMIF(D:D,L29,E:E)</f>
        <v/>
      </c>
    </row>
    <row r="30">
      <c r="A30" s="34" t="n">
        <v>29</v>
      </c>
      <c r="B30" s="34" t="inlineStr">
        <is>
          <t>E</t>
        </is>
      </c>
      <c r="C30" s="34" t="inlineStr">
        <is>
          <t>Curazao</t>
        </is>
      </c>
      <c r="D30" s="34" t="inlineStr">
        <is>
          <t>Costa de Marfil</t>
        </is>
      </c>
      <c r="E30" s="3" t="n">
        <v>1</v>
      </c>
      <c r="F30" s="3" t="n">
        <v>2</v>
      </c>
      <c r="G30" s="34">
        <f>IF(E30&gt;F30,"Local",IF(E30=F30,"Empate","Visitante"))</f>
        <v/>
      </c>
      <c r="H30" s="1">
        <f>E30-F30</f>
        <v/>
      </c>
    </row>
    <row r="31">
      <c r="A31" s="34" t="n">
        <v>30</v>
      </c>
      <c r="B31" s="34" t="inlineStr">
        <is>
          <t>E</t>
        </is>
      </c>
      <c r="C31" s="34" t="inlineStr">
        <is>
          <t>Ecuador</t>
        </is>
      </c>
      <c r="D31" s="34" t="inlineStr">
        <is>
          <t>Alemania</t>
        </is>
      </c>
      <c r="E31" s="3" t="n">
        <v>2</v>
      </c>
      <c r="F31" s="3" t="n">
        <v>2</v>
      </c>
      <c r="G31" s="34">
        <f>IF(E31&gt;F31,"Local",IF(E31=F31,"Empate","Visitante"))</f>
        <v/>
      </c>
      <c r="H31" s="1">
        <f>E31-F31</f>
        <v/>
      </c>
      <c r="J31" s="6" t="inlineStr">
        <is>
          <t>Grupo</t>
        </is>
      </c>
      <c r="K31" s="7" t="inlineStr">
        <is>
          <t>Posición</t>
        </is>
      </c>
      <c r="L31" s="34" t="inlineStr">
        <is>
          <t>Equipo</t>
        </is>
      </c>
      <c r="M31" s="34" t="inlineStr">
        <is>
          <t>Puntos</t>
        </is>
      </c>
      <c r="N31" s="34" t="inlineStr">
        <is>
          <t>Diferencia</t>
        </is>
      </c>
      <c r="O31" s="34" t="inlineStr">
        <is>
          <t>GF</t>
        </is>
      </c>
      <c r="P31" s="5" t="inlineStr">
        <is>
          <t>GC</t>
        </is>
      </c>
      <c r="Q31" s="5" t="inlineStr">
        <is>
          <t>Victorias</t>
        </is>
      </c>
      <c r="R31" s="5" t="inlineStr">
        <is>
          <t>Empates</t>
        </is>
      </c>
      <c r="S31" s="5" t="inlineStr">
        <is>
          <t>Derrotas</t>
        </is>
      </c>
      <c r="T31" s="5" t="inlineStr">
        <is>
          <t>Victorias_L</t>
        </is>
      </c>
      <c r="U31" s="5" t="inlineStr">
        <is>
          <t>Victorias_V</t>
        </is>
      </c>
      <c r="V31" s="5" t="inlineStr">
        <is>
          <t>Empates_L</t>
        </is>
      </c>
      <c r="W31" s="5" t="inlineStr">
        <is>
          <t>Empates_V</t>
        </is>
      </c>
      <c r="X31" s="5" t="inlineStr">
        <is>
          <t>Derrotas_L</t>
        </is>
      </c>
      <c r="Y31" s="5" t="inlineStr">
        <is>
          <t>Derrotas_V</t>
        </is>
      </c>
      <c r="Z31" s="5" t="inlineStr">
        <is>
          <t>GF_L</t>
        </is>
      </c>
      <c r="AA31" s="5" t="inlineStr">
        <is>
          <t>GF_V</t>
        </is>
      </c>
      <c r="AB31" s="5" t="inlineStr">
        <is>
          <t>GC_L</t>
        </is>
      </c>
      <c r="AC31" s="7" t="inlineStr">
        <is>
          <t>GC_V</t>
        </is>
      </c>
    </row>
    <row r="32">
      <c r="A32" s="34" t="n">
        <v>31</v>
      </c>
      <c r="B32" s="34" t="inlineStr">
        <is>
          <t>F</t>
        </is>
      </c>
      <c r="C32" s="34" t="inlineStr">
        <is>
          <t>Países Bajos</t>
        </is>
      </c>
      <c r="D32" s="34" t="inlineStr">
        <is>
          <t>Japón</t>
        </is>
      </c>
      <c r="E32" s="3" t="n">
        <v>2</v>
      </c>
      <c r="F32" s="3" t="n">
        <v>0</v>
      </c>
      <c r="G32" s="34">
        <f>IF(E32&gt;F32,"Local",IF(E32=F32,"Empate","Visitante"))</f>
        <v/>
      </c>
      <c r="H32" s="1">
        <f>E32-F32</f>
        <v/>
      </c>
      <c r="J32" s="34" t="inlineStr">
        <is>
          <t>F</t>
        </is>
      </c>
      <c r="K32" s="8" t="n">
        <v>1</v>
      </c>
      <c r="L32" s="34" t="inlineStr">
        <is>
          <t>Países Bajos</t>
        </is>
      </c>
      <c r="M32" s="3">
        <f>(Q32*3)+R32</f>
        <v/>
      </c>
      <c r="N32" s="3">
        <f>O32-P32</f>
        <v/>
      </c>
      <c r="O32" s="3">
        <f>Z32+AA32</f>
        <v/>
      </c>
      <c r="P32" s="3">
        <f>AB32+AC32</f>
        <v/>
      </c>
      <c r="Q32" s="34">
        <f>T32+U32</f>
        <v/>
      </c>
      <c r="R32" s="34">
        <f>V32+W32</f>
        <v/>
      </c>
      <c r="S32" s="34">
        <f>X32+Y32</f>
        <v/>
      </c>
      <c r="T32" s="34">
        <f>COUNTIFS(C:C,L32,G:G,"Local")</f>
        <v/>
      </c>
      <c r="U32" s="34">
        <f>COUNTIFS(D:D,L32,G:G,"Visitante")</f>
        <v/>
      </c>
      <c r="V32" s="34">
        <f>COUNTIFS(C:C,L32,G:G,"Empate")</f>
        <v/>
      </c>
      <c r="W32" s="34">
        <f>COUNTIFS(D:D,L32,G:G,"Empate")</f>
        <v/>
      </c>
      <c r="X32" s="34">
        <f>COUNTIFS(C:C,L32,G:G,"Visitante")</f>
        <v/>
      </c>
      <c r="Y32" s="34">
        <f>COUNTIFS(D:D,L32,G:G,"Local")</f>
        <v/>
      </c>
      <c r="Z32" s="34">
        <f>SUMIF(C:C,L32,E:E)</f>
        <v/>
      </c>
      <c r="AA32" s="34">
        <f>SUMIF(D:D,L32,F:F)</f>
        <v/>
      </c>
      <c r="AB32" s="34">
        <f>SUMIF(C:C,L32,F:F)</f>
        <v/>
      </c>
      <c r="AC32" s="9">
        <f>SUMIF(D:D,L32,E:E)</f>
        <v/>
      </c>
    </row>
    <row r="33">
      <c r="A33" s="34" t="n">
        <v>32</v>
      </c>
      <c r="B33" s="34" t="inlineStr">
        <is>
          <t>F</t>
        </is>
      </c>
      <c r="C33" s="34" t="inlineStr">
        <is>
          <t>Suecia</t>
        </is>
      </c>
      <c r="D33" s="34" t="inlineStr">
        <is>
          <t>Túnez</t>
        </is>
      </c>
      <c r="E33" s="3" t="n">
        <v>1</v>
      </c>
      <c r="F33" s="3" t="n">
        <v>1</v>
      </c>
      <c r="G33" s="34">
        <f>IF(E33&gt;F33,"Local",IF(E33=F33,"Empate","Visitante"))</f>
        <v/>
      </c>
      <c r="H33" s="1">
        <f>E33-F33</f>
        <v/>
      </c>
      <c r="J33" s="32" t="n"/>
      <c r="K33" s="8" t="n">
        <v>2</v>
      </c>
      <c r="L33" s="34" t="inlineStr">
        <is>
          <t>Japón</t>
        </is>
      </c>
      <c r="M33" s="3">
        <f>(Q33*3)+R33</f>
        <v/>
      </c>
      <c r="N33" s="3">
        <f>O33-P33</f>
        <v/>
      </c>
      <c r="O33" s="3">
        <f>Z33+AA33</f>
        <v/>
      </c>
      <c r="P33" s="3">
        <f>AB33+AC33</f>
        <v/>
      </c>
      <c r="Q33" s="34">
        <f>T33+U33</f>
        <v/>
      </c>
      <c r="R33" s="34">
        <f>V33+W33</f>
        <v/>
      </c>
      <c r="S33" s="34">
        <f>X33+Y33</f>
        <v/>
      </c>
      <c r="T33" s="34">
        <f>COUNTIFS(C:C,L33,G:G,"Local")</f>
        <v/>
      </c>
      <c r="U33" s="34">
        <f>COUNTIFS(D:D,L33,G:G,"Visitante")</f>
        <v/>
      </c>
      <c r="V33" s="34">
        <f>COUNTIFS(C:C,L33,G:G,"Empate")</f>
        <v/>
      </c>
      <c r="W33" s="34">
        <f>COUNTIFS(D:D,L33,G:G,"Empate")</f>
        <v/>
      </c>
      <c r="X33" s="34">
        <f>COUNTIFS(C:C,L33,G:G,"Visitante")</f>
        <v/>
      </c>
      <c r="Y33" s="34">
        <f>COUNTIFS(D:D,L33,G:G,"Local")</f>
        <v/>
      </c>
      <c r="Z33" s="34">
        <f>SUMIF(C:C,L33,E:E)</f>
        <v/>
      </c>
      <c r="AA33" s="34">
        <f>SUMIF(D:D,L33,F:F)</f>
        <v/>
      </c>
      <c r="AB33" s="34">
        <f>SUMIF(C:C,L33,F:F)</f>
        <v/>
      </c>
      <c r="AC33" s="9">
        <f>SUMIF(D:D,L33,E:E)</f>
        <v/>
      </c>
    </row>
    <row r="34">
      <c r="A34" s="34" t="n">
        <v>33</v>
      </c>
      <c r="B34" s="34" t="inlineStr">
        <is>
          <t>F</t>
        </is>
      </c>
      <c r="C34" s="34" t="inlineStr">
        <is>
          <t>Países Bajos</t>
        </is>
      </c>
      <c r="D34" s="34" t="inlineStr">
        <is>
          <t>Suecia</t>
        </is>
      </c>
      <c r="E34" s="3" t="n">
        <v>1</v>
      </c>
      <c r="F34" s="3" t="n">
        <v>0</v>
      </c>
      <c r="G34" s="34">
        <f>IF(E34&gt;F34,"Local",IF(E34=F34,"Empate","Visitante"))</f>
        <v/>
      </c>
      <c r="H34" s="1">
        <f>E34-F34</f>
        <v/>
      </c>
      <c r="J34" s="32" t="n"/>
      <c r="K34" s="8" t="n">
        <v>3</v>
      </c>
      <c r="L34" s="34" t="inlineStr">
        <is>
          <t>Suecia</t>
        </is>
      </c>
      <c r="M34" s="3">
        <f>(Q34*3)+R34</f>
        <v/>
      </c>
      <c r="N34" s="3">
        <f>O34-P34</f>
        <v/>
      </c>
      <c r="O34" s="3">
        <f>Z34+AA34</f>
        <v/>
      </c>
      <c r="P34" s="3">
        <f>AB34+AC34</f>
        <v/>
      </c>
      <c r="Q34" s="34">
        <f>T34+U34</f>
        <v/>
      </c>
      <c r="R34" s="34">
        <f>V34+W34</f>
        <v/>
      </c>
      <c r="S34" s="34">
        <f>X34+Y34</f>
        <v/>
      </c>
      <c r="T34" s="34">
        <f>COUNTIFS(C:C,L34,G:G,"Local")</f>
        <v/>
      </c>
      <c r="U34" s="34">
        <f>COUNTIFS(D:D,L34,G:G,"Visitante")</f>
        <v/>
      </c>
      <c r="V34" s="34">
        <f>COUNTIFS(C:C,L34,G:G,"Empate")</f>
        <v/>
      </c>
      <c r="W34" s="34">
        <f>COUNTIFS(D:D,L34,G:G,"Empate")</f>
        <v/>
      </c>
      <c r="X34" s="34">
        <f>COUNTIFS(C:C,L34,G:G,"Visitante")</f>
        <v/>
      </c>
      <c r="Y34" s="34">
        <f>COUNTIFS(D:D,L34,G:G,"Local")</f>
        <v/>
      </c>
      <c r="Z34" s="34">
        <f>SUMIF(C:C,L34,E:E)</f>
        <v/>
      </c>
      <c r="AA34" s="34">
        <f>SUMIF(D:D,L34,F:F)</f>
        <v/>
      </c>
      <c r="AB34" s="34">
        <f>SUMIF(C:C,L34,F:F)</f>
        <v/>
      </c>
      <c r="AC34" s="9">
        <f>SUMIF(D:D,L34,E:E)</f>
        <v/>
      </c>
    </row>
    <row r="35">
      <c r="A35" s="34" t="n">
        <v>34</v>
      </c>
      <c r="B35" s="34" t="inlineStr">
        <is>
          <t>F</t>
        </is>
      </c>
      <c r="C35" s="34" t="inlineStr">
        <is>
          <t>Túnez</t>
        </is>
      </c>
      <c r="D35" s="34" t="inlineStr">
        <is>
          <t>Japón</t>
        </is>
      </c>
      <c r="E35" s="3" t="n">
        <v>1</v>
      </c>
      <c r="F35" s="3" t="n">
        <v>3</v>
      </c>
      <c r="G35" s="34">
        <f>IF(E35&gt;F35,"Local",IF(E35=F35,"Empate","Visitante"))</f>
        <v/>
      </c>
      <c r="H35" s="1">
        <f>E35-F35</f>
        <v/>
      </c>
      <c r="J35" s="33" t="n"/>
      <c r="K35" s="10" t="n">
        <v>4</v>
      </c>
      <c r="L35" s="4" t="inlineStr">
        <is>
          <t>Túnez</t>
        </is>
      </c>
      <c r="M35" s="11">
        <f>(Q35*3)+R35</f>
        <v/>
      </c>
      <c r="N35" s="11">
        <f>O35-P35</f>
        <v/>
      </c>
      <c r="O35" s="11">
        <f>Z35+AA35</f>
        <v/>
      </c>
      <c r="P35" s="11">
        <f>AB35+AC35</f>
        <v/>
      </c>
      <c r="Q35" s="4">
        <f>T35+U35</f>
        <v/>
      </c>
      <c r="R35" s="4">
        <f>V35+W35</f>
        <v/>
      </c>
      <c r="S35" s="4">
        <f>X35+Y35</f>
        <v/>
      </c>
      <c r="T35" s="4">
        <f>COUNTIFS(C:C,L35,G:G,"Local")</f>
        <v/>
      </c>
      <c r="U35" s="4">
        <f>COUNTIFS(D:D,L35,G:G,"Visitante")</f>
        <v/>
      </c>
      <c r="V35" s="4">
        <f>COUNTIFS(C:C,L35,G:G,"Empate")</f>
        <v/>
      </c>
      <c r="W35" s="4">
        <f>COUNTIFS(D:D,L35,G:G,"Empate")</f>
        <v/>
      </c>
      <c r="X35" s="4">
        <f>COUNTIFS(C:C,L35,G:G,"Visitante")</f>
        <v/>
      </c>
      <c r="Y35" s="4">
        <f>COUNTIFS(D:D,L35,G:G,"Local")</f>
        <v/>
      </c>
      <c r="Z35" s="4">
        <f>SUMIF(C:C,L35,E:E)</f>
        <v/>
      </c>
      <c r="AA35" s="4">
        <f>SUMIF(D:D,L35,F:F)</f>
        <v/>
      </c>
      <c r="AB35" s="4">
        <f>SUMIF(C:C,L35,F:F)</f>
        <v/>
      </c>
      <c r="AC35" s="12">
        <f>SUMIF(D:D,L35,E:E)</f>
        <v/>
      </c>
    </row>
    <row r="36">
      <c r="A36" s="34" t="n">
        <v>35</v>
      </c>
      <c r="B36" s="34" t="inlineStr">
        <is>
          <t>F</t>
        </is>
      </c>
      <c r="C36" s="34" t="inlineStr">
        <is>
          <t>Japón</t>
        </is>
      </c>
      <c r="D36" s="34" t="inlineStr">
        <is>
          <t>Suecia</t>
        </is>
      </c>
      <c r="E36" s="3" t="n">
        <v>2</v>
      </c>
      <c r="F36" s="3" t="n">
        <v>1</v>
      </c>
      <c r="G36" s="34">
        <f>IF(E36&gt;F36,"Local",IF(E36=F36,"Empate","Visitante"))</f>
        <v/>
      </c>
      <c r="H36" s="1">
        <f>E36-F36</f>
        <v/>
      </c>
    </row>
    <row r="37">
      <c r="A37" s="34" t="n">
        <v>36</v>
      </c>
      <c r="B37" s="34" t="inlineStr">
        <is>
          <t>F</t>
        </is>
      </c>
      <c r="C37" s="34" t="inlineStr">
        <is>
          <t>Túnez</t>
        </is>
      </c>
      <c r="D37" s="34" t="inlineStr">
        <is>
          <t>Países Bajos</t>
        </is>
      </c>
      <c r="E37" s="3" t="n">
        <v>0</v>
      </c>
      <c r="F37" s="3" t="n">
        <v>2</v>
      </c>
      <c r="G37" s="34">
        <f>IF(E37&gt;F37,"Local",IF(E37=F37,"Empate","Visitante"))</f>
        <v/>
      </c>
      <c r="H37" s="1">
        <f>E37-F37</f>
        <v/>
      </c>
      <c r="J37" s="6" t="inlineStr">
        <is>
          <t>Grupo</t>
        </is>
      </c>
      <c r="K37" s="7" t="inlineStr">
        <is>
          <t>Posición</t>
        </is>
      </c>
      <c r="L37" s="34" t="inlineStr">
        <is>
          <t>Equipo</t>
        </is>
      </c>
      <c r="M37" s="34" t="inlineStr">
        <is>
          <t>Puntos</t>
        </is>
      </c>
      <c r="N37" s="34" t="inlineStr">
        <is>
          <t>Diferencia</t>
        </is>
      </c>
      <c r="O37" s="34" t="inlineStr">
        <is>
          <t>GF</t>
        </is>
      </c>
      <c r="P37" s="5" t="inlineStr">
        <is>
          <t>GC</t>
        </is>
      </c>
      <c r="Q37" s="5" t="inlineStr">
        <is>
          <t>Victorias</t>
        </is>
      </c>
      <c r="R37" s="5" t="inlineStr">
        <is>
          <t>Empates</t>
        </is>
      </c>
      <c r="S37" s="5" t="inlineStr">
        <is>
          <t>Derrotas</t>
        </is>
      </c>
      <c r="T37" s="5" t="inlineStr">
        <is>
          <t>Victorias_L</t>
        </is>
      </c>
      <c r="U37" s="5" t="inlineStr">
        <is>
          <t>Victorias_V</t>
        </is>
      </c>
      <c r="V37" s="5" t="inlineStr">
        <is>
          <t>Empates_L</t>
        </is>
      </c>
      <c r="W37" s="5" t="inlineStr">
        <is>
          <t>Empates_V</t>
        </is>
      </c>
      <c r="X37" s="5" t="inlineStr">
        <is>
          <t>Derrotas_L</t>
        </is>
      </c>
      <c r="Y37" s="5" t="inlineStr">
        <is>
          <t>Derrotas_V</t>
        </is>
      </c>
      <c r="Z37" s="5" t="inlineStr">
        <is>
          <t>GF_L</t>
        </is>
      </c>
      <c r="AA37" s="5" t="inlineStr">
        <is>
          <t>GF_V</t>
        </is>
      </c>
      <c r="AB37" s="5" t="inlineStr">
        <is>
          <t>GC_L</t>
        </is>
      </c>
      <c r="AC37" s="7" t="inlineStr">
        <is>
          <t>GC_V</t>
        </is>
      </c>
    </row>
    <row r="38">
      <c r="A38" s="34" t="n">
        <v>37</v>
      </c>
      <c r="B38" s="34" t="inlineStr">
        <is>
          <t>G</t>
        </is>
      </c>
      <c r="C38" s="34" t="inlineStr">
        <is>
          <t>Bélgica</t>
        </is>
      </c>
      <c r="D38" s="34" t="inlineStr">
        <is>
          <t>Egipto</t>
        </is>
      </c>
      <c r="E38" s="3" t="n">
        <v>1</v>
      </c>
      <c r="F38" s="3" t="n">
        <v>0</v>
      </c>
      <c r="G38" s="34">
        <f>IF(E38&gt;F38,"Local",IF(E38=F38,"Empate","Visitante"))</f>
        <v/>
      </c>
      <c r="H38" s="1">
        <f>E38-F38</f>
        <v/>
      </c>
      <c r="J38" s="34" t="inlineStr">
        <is>
          <t>G</t>
        </is>
      </c>
      <c r="K38" s="8" t="n">
        <v>1</v>
      </c>
      <c r="L38" s="34" t="inlineStr">
        <is>
          <t>Bélgica</t>
        </is>
      </c>
      <c r="M38" s="3">
        <f>(Q38*3)+R38</f>
        <v/>
      </c>
      <c r="N38" s="3">
        <f>O38-P38</f>
        <v/>
      </c>
      <c r="O38" s="3">
        <f>Z38+AA38</f>
        <v/>
      </c>
      <c r="P38" s="3">
        <f>AB38+AC38</f>
        <v/>
      </c>
      <c r="Q38" s="34">
        <f>T38+U38</f>
        <v/>
      </c>
      <c r="R38" s="34">
        <f>V38+W38</f>
        <v/>
      </c>
      <c r="S38" s="34">
        <f>X38+Y38</f>
        <v/>
      </c>
      <c r="T38" s="34">
        <f>COUNTIFS(C:C,L38,G:G,"Local")</f>
        <v/>
      </c>
      <c r="U38" s="34">
        <f>COUNTIFS(D:D,L38,G:G,"Visitante")</f>
        <v/>
      </c>
      <c r="V38" s="34">
        <f>COUNTIFS(C:C,L38,G:G,"Empate")</f>
        <v/>
      </c>
      <c r="W38" s="34">
        <f>COUNTIFS(D:D,L38,G:G,"Empate")</f>
        <v/>
      </c>
      <c r="X38" s="34">
        <f>COUNTIFS(C:C,L38,G:G,"Visitante")</f>
        <v/>
      </c>
      <c r="Y38" s="34">
        <f>COUNTIFS(D:D,L38,G:G,"Local")</f>
        <v/>
      </c>
      <c r="Z38" s="34">
        <f>SUMIF(C:C,L38,E:E)</f>
        <v/>
      </c>
      <c r="AA38" s="34">
        <f>SUMIF(D:D,L38,F:F)</f>
        <v/>
      </c>
      <c r="AB38" s="34">
        <f>SUMIF(C:C,L38,F:F)</f>
        <v/>
      </c>
      <c r="AC38" s="9">
        <f>SUMIF(D:D,L38,E:E)</f>
        <v/>
      </c>
    </row>
    <row r="39">
      <c r="A39" s="34" t="n">
        <v>38</v>
      </c>
      <c r="B39" s="34" t="inlineStr">
        <is>
          <t>G</t>
        </is>
      </c>
      <c r="C39" s="34" t="inlineStr">
        <is>
          <t>Irán</t>
        </is>
      </c>
      <c r="D39" s="34" t="inlineStr">
        <is>
          <t>Nueva Zelanda</t>
        </is>
      </c>
      <c r="E39" s="3" t="n">
        <v>0</v>
      </c>
      <c r="F39" s="3" t="n">
        <v>0</v>
      </c>
      <c r="G39" s="34">
        <f>IF(E39&gt;F39,"Local",IF(E39=F39,"Empate","Visitante"))</f>
        <v/>
      </c>
      <c r="H39" s="1">
        <f>E39-F39</f>
        <v/>
      </c>
      <c r="J39" s="32" t="n"/>
      <c r="K39" s="8" t="n">
        <v>2</v>
      </c>
      <c r="L39" s="34" t="inlineStr">
        <is>
          <t>Egipto</t>
        </is>
      </c>
      <c r="M39" s="3">
        <f>(Q39*3)+R39</f>
        <v/>
      </c>
      <c r="N39" s="3">
        <f>O39-P39</f>
        <v/>
      </c>
      <c r="O39" s="3">
        <f>Z39+AA39</f>
        <v/>
      </c>
      <c r="P39" s="3">
        <f>AB39+AC39</f>
        <v/>
      </c>
      <c r="Q39" s="34">
        <f>T39+U39</f>
        <v/>
      </c>
      <c r="R39" s="34">
        <f>V39+W39</f>
        <v/>
      </c>
      <c r="S39" s="34">
        <f>X39+Y39</f>
        <v/>
      </c>
      <c r="T39" s="34">
        <f>COUNTIFS(C:C,L39,G:G,"Local")</f>
        <v/>
      </c>
      <c r="U39" s="34">
        <f>COUNTIFS(D:D,L39,G:G,"Visitante")</f>
        <v/>
      </c>
      <c r="V39" s="34">
        <f>COUNTIFS(C:C,L39,G:G,"Empate")</f>
        <v/>
      </c>
      <c r="W39" s="34">
        <f>COUNTIFS(D:D,L39,G:G,"Empate")</f>
        <v/>
      </c>
      <c r="X39" s="34">
        <f>COUNTIFS(C:C,L39,G:G,"Visitante")</f>
        <v/>
      </c>
      <c r="Y39" s="34">
        <f>COUNTIFS(D:D,L39,G:G,"Local")</f>
        <v/>
      </c>
      <c r="Z39" s="34">
        <f>SUMIF(C:C,L39,E:E)</f>
        <v/>
      </c>
      <c r="AA39" s="34">
        <f>SUMIF(D:D,L39,F:F)</f>
        <v/>
      </c>
      <c r="AB39" s="34">
        <f>SUMIF(C:C,L39,F:F)</f>
        <v/>
      </c>
      <c r="AC39" s="9">
        <f>SUMIF(D:D,L39,E:E)</f>
        <v/>
      </c>
    </row>
    <row r="40">
      <c r="A40" s="34" t="n">
        <v>39</v>
      </c>
      <c r="B40" s="34" t="inlineStr">
        <is>
          <t>G</t>
        </is>
      </c>
      <c r="C40" s="34" t="inlineStr">
        <is>
          <t>Bélgica</t>
        </is>
      </c>
      <c r="D40" s="34" t="inlineStr">
        <is>
          <t>Irán</t>
        </is>
      </c>
      <c r="E40" s="3" t="n">
        <v>4</v>
      </c>
      <c r="F40" s="3" t="n">
        <v>1</v>
      </c>
      <c r="G40" s="34">
        <f>IF(E40&gt;F40,"Local",IF(E40=F40,"Empate","Visitante"))</f>
        <v/>
      </c>
      <c r="H40" s="1">
        <f>E40-F40</f>
        <v/>
      </c>
      <c r="J40" s="32" t="n"/>
      <c r="K40" s="8" t="n">
        <v>3</v>
      </c>
      <c r="L40" s="34" t="inlineStr">
        <is>
          <t>Nueva Zelanda</t>
        </is>
      </c>
      <c r="M40" s="3">
        <f>(Q40*3)+R40</f>
        <v/>
      </c>
      <c r="N40" s="3">
        <f>O40-P40</f>
        <v/>
      </c>
      <c r="O40" s="3">
        <f>Z40+AA40</f>
        <v/>
      </c>
      <c r="P40" s="3">
        <f>AB40+AC40</f>
        <v/>
      </c>
      <c r="Q40" s="34">
        <f>T40+U40</f>
        <v/>
      </c>
      <c r="R40" s="34">
        <f>V40+W40</f>
        <v/>
      </c>
      <c r="S40" s="34">
        <f>X40+Y40</f>
        <v/>
      </c>
      <c r="T40" s="34">
        <f>COUNTIFS(C:C,L40,G:G,"Local")</f>
        <v/>
      </c>
      <c r="U40" s="34">
        <f>COUNTIFS(D:D,L40,G:G,"Visitante")</f>
        <v/>
      </c>
      <c r="V40" s="34">
        <f>COUNTIFS(C:C,L40,G:G,"Empate")</f>
        <v/>
      </c>
      <c r="W40" s="34">
        <f>COUNTIFS(D:D,L40,G:G,"Empate")</f>
        <v/>
      </c>
      <c r="X40" s="34">
        <f>COUNTIFS(C:C,L40,G:G,"Visitante")</f>
        <v/>
      </c>
      <c r="Y40" s="34">
        <f>COUNTIFS(D:D,L40,G:G,"Local")</f>
        <v/>
      </c>
      <c r="Z40" s="34">
        <f>SUMIF(C:C,L40,E:E)</f>
        <v/>
      </c>
      <c r="AA40" s="34">
        <f>SUMIF(D:D,L40,F:F)</f>
        <v/>
      </c>
      <c r="AB40" s="34">
        <f>SUMIF(C:C,L40,F:F)</f>
        <v/>
      </c>
      <c r="AC40" s="9">
        <f>SUMIF(D:D,L40,E:E)</f>
        <v/>
      </c>
    </row>
    <row r="41">
      <c r="A41" s="34" t="n">
        <v>40</v>
      </c>
      <c r="B41" s="34" t="inlineStr">
        <is>
          <t>G</t>
        </is>
      </c>
      <c r="C41" s="34" t="inlineStr">
        <is>
          <t>Nueva Zelanda</t>
        </is>
      </c>
      <c r="D41" s="34" t="inlineStr">
        <is>
          <t>Egipto</t>
        </is>
      </c>
      <c r="E41" s="3" t="n">
        <v>0</v>
      </c>
      <c r="F41" s="3" t="n">
        <v>1</v>
      </c>
      <c r="G41" s="34">
        <f>IF(E41&gt;F41,"Local",IF(E41=F41,"Empate","Visitante"))</f>
        <v/>
      </c>
      <c r="H41" s="1">
        <f>E41-F41</f>
        <v/>
      </c>
      <c r="J41" s="33" t="n"/>
      <c r="K41" s="10" t="n">
        <v>4</v>
      </c>
      <c r="L41" s="4" t="inlineStr">
        <is>
          <t>Irán</t>
        </is>
      </c>
      <c r="M41" s="11">
        <f>(Q41*3)+R41</f>
        <v/>
      </c>
      <c r="N41" s="11">
        <f>O41-P41</f>
        <v/>
      </c>
      <c r="O41" s="11">
        <f>Z41+AA41</f>
        <v/>
      </c>
      <c r="P41" s="11">
        <f>AB41+AC41</f>
        <v/>
      </c>
      <c r="Q41" s="4">
        <f>T41+U41</f>
        <v/>
      </c>
      <c r="R41" s="4">
        <f>V41+W41</f>
        <v/>
      </c>
      <c r="S41" s="4">
        <f>X41+Y41</f>
        <v/>
      </c>
      <c r="T41" s="4">
        <f>COUNTIFS(C:C,L41,G:G,"Local")</f>
        <v/>
      </c>
      <c r="U41" s="4">
        <f>COUNTIFS(D:D,L41,G:G,"Visitante")</f>
        <v/>
      </c>
      <c r="V41" s="4">
        <f>COUNTIFS(C:C,L41,G:G,"Empate")</f>
        <v/>
      </c>
      <c r="W41" s="4">
        <f>COUNTIFS(D:D,L41,G:G,"Empate")</f>
        <v/>
      </c>
      <c r="X41" s="4">
        <f>COUNTIFS(C:C,L41,G:G,"Visitante")</f>
        <v/>
      </c>
      <c r="Y41" s="4">
        <f>COUNTIFS(D:D,L41,G:G,"Local")</f>
        <v/>
      </c>
      <c r="Z41" s="4">
        <f>SUMIF(C:C,L41,E:E)</f>
        <v/>
      </c>
      <c r="AA41" s="4">
        <f>SUMIF(D:D,L41,F:F)</f>
        <v/>
      </c>
      <c r="AB41" s="4">
        <f>SUMIF(C:C,L41,F:F)</f>
        <v/>
      </c>
      <c r="AC41" s="12">
        <f>SUMIF(D:D,L41,E:E)</f>
        <v/>
      </c>
    </row>
    <row r="42">
      <c r="A42" s="34" t="n">
        <v>41</v>
      </c>
      <c r="B42" s="34" t="inlineStr">
        <is>
          <t>G</t>
        </is>
      </c>
      <c r="C42" s="34" t="inlineStr">
        <is>
          <t>Egipto</t>
        </is>
      </c>
      <c r="D42" s="34" t="inlineStr">
        <is>
          <t>Irán</t>
        </is>
      </c>
      <c r="E42" s="3" t="n">
        <v>3</v>
      </c>
      <c r="F42" s="3" t="n">
        <v>0</v>
      </c>
      <c r="G42" s="34">
        <f>IF(E42&gt;F42,"Local",IF(E42=F42,"Empate","Visitante"))</f>
        <v/>
      </c>
      <c r="H42" s="1">
        <f>E42-F42</f>
        <v/>
      </c>
    </row>
    <row r="43">
      <c r="A43" s="34" t="n">
        <v>42</v>
      </c>
      <c r="B43" s="34" t="inlineStr">
        <is>
          <t>G</t>
        </is>
      </c>
      <c r="C43" s="34" t="inlineStr">
        <is>
          <t>Nueva Zelanda</t>
        </is>
      </c>
      <c r="D43" s="34" t="inlineStr">
        <is>
          <t>Bélgica</t>
        </is>
      </c>
      <c r="E43" s="3" t="n">
        <v>1</v>
      </c>
      <c r="F43" s="3" t="n">
        <v>4</v>
      </c>
      <c r="G43" s="34">
        <f>IF(E43&gt;F43,"Local",IF(E43=F43,"Empate","Visitante"))</f>
        <v/>
      </c>
      <c r="H43" s="1">
        <f>E43-F43</f>
        <v/>
      </c>
      <c r="J43" s="6" t="inlineStr">
        <is>
          <t>Grupo</t>
        </is>
      </c>
      <c r="K43" s="7" t="inlineStr">
        <is>
          <t>Posición</t>
        </is>
      </c>
      <c r="L43" s="34" t="inlineStr">
        <is>
          <t>Equipo</t>
        </is>
      </c>
      <c r="M43" s="34" t="inlineStr">
        <is>
          <t>Puntos</t>
        </is>
      </c>
      <c r="N43" s="34" t="inlineStr">
        <is>
          <t>Diferencia</t>
        </is>
      </c>
      <c r="O43" s="34" t="inlineStr">
        <is>
          <t>GF</t>
        </is>
      </c>
      <c r="P43" s="5" t="inlineStr">
        <is>
          <t>GC</t>
        </is>
      </c>
      <c r="Q43" s="5" t="inlineStr">
        <is>
          <t>Victorias</t>
        </is>
      </c>
      <c r="R43" s="5" t="inlineStr">
        <is>
          <t>Empates</t>
        </is>
      </c>
      <c r="S43" s="5" t="inlineStr">
        <is>
          <t>Derrotas</t>
        </is>
      </c>
      <c r="T43" s="5" t="inlineStr">
        <is>
          <t>Victorias_L</t>
        </is>
      </c>
      <c r="U43" s="5" t="inlineStr">
        <is>
          <t>Victorias_V</t>
        </is>
      </c>
      <c r="V43" s="5" t="inlineStr">
        <is>
          <t>Empates_L</t>
        </is>
      </c>
      <c r="W43" s="5" t="inlineStr">
        <is>
          <t>Empates_V</t>
        </is>
      </c>
      <c r="X43" s="5" t="inlineStr">
        <is>
          <t>Derrotas_L</t>
        </is>
      </c>
      <c r="Y43" s="5" t="inlineStr">
        <is>
          <t>Derrotas_V</t>
        </is>
      </c>
      <c r="Z43" s="5" t="inlineStr">
        <is>
          <t>GF_L</t>
        </is>
      </c>
      <c r="AA43" s="5" t="inlineStr">
        <is>
          <t>GF_V</t>
        </is>
      </c>
      <c r="AB43" s="5" t="inlineStr">
        <is>
          <t>GC_L</t>
        </is>
      </c>
      <c r="AC43" s="7" t="inlineStr">
        <is>
          <t>GC_V</t>
        </is>
      </c>
    </row>
    <row r="44">
      <c r="A44" s="34" t="n">
        <v>43</v>
      </c>
      <c r="B44" s="34" t="inlineStr">
        <is>
          <t>H</t>
        </is>
      </c>
      <c r="C44" s="34" t="inlineStr">
        <is>
          <t>España</t>
        </is>
      </c>
      <c r="D44" s="34" t="inlineStr">
        <is>
          <t>Cabo Verde</t>
        </is>
      </c>
      <c r="E44" s="3" t="n">
        <v>4</v>
      </c>
      <c r="F44" s="3" t="n">
        <v>0</v>
      </c>
      <c r="G44" s="34">
        <f>IF(E44&gt;F44,"Local",IF(E44=F44,"Empate","Visitante"))</f>
        <v/>
      </c>
      <c r="H44" s="1">
        <f>E44-F44</f>
        <v/>
      </c>
      <c r="J44" s="34" t="inlineStr">
        <is>
          <t>H</t>
        </is>
      </c>
      <c r="K44" s="8" t="n">
        <v>1</v>
      </c>
      <c r="L44" s="34" t="inlineStr">
        <is>
          <t>Uruguay</t>
        </is>
      </c>
      <c r="M44" s="3">
        <f>(Q44*3)+R44</f>
        <v/>
      </c>
      <c r="N44" s="3">
        <f>O44-P44</f>
        <v/>
      </c>
      <c r="O44" s="3">
        <f>Z44+AA44</f>
        <v/>
      </c>
      <c r="P44" s="3">
        <f>AB44+AC44</f>
        <v/>
      </c>
      <c r="Q44" s="34">
        <f>T44+U44</f>
        <v/>
      </c>
      <c r="R44" s="34">
        <f>V44+W44</f>
        <v/>
      </c>
      <c r="S44" s="34">
        <f>X44+Y44</f>
        <v/>
      </c>
      <c r="T44" s="34">
        <f>COUNTIFS(C:C,L44,G:G,"Local")</f>
        <v/>
      </c>
      <c r="U44" s="34">
        <f>COUNTIFS(D:D,L44,G:G,"Visitante")</f>
        <v/>
      </c>
      <c r="V44" s="34">
        <f>COUNTIFS(C:C,L44,G:G,"Empate")</f>
        <v/>
      </c>
      <c r="W44" s="34">
        <f>COUNTIFS(D:D,L44,G:G,"Empate")</f>
        <v/>
      </c>
      <c r="X44" s="34">
        <f>COUNTIFS(C:C,L44,G:G,"Visitante")</f>
        <v/>
      </c>
      <c r="Y44" s="34">
        <f>COUNTIFS(D:D,L44,G:G,"Local")</f>
        <v/>
      </c>
      <c r="Z44" s="34">
        <f>SUMIF(C:C,L44,E:E)</f>
        <v/>
      </c>
      <c r="AA44" s="34">
        <f>SUMIF(D:D,L44,F:F)</f>
        <v/>
      </c>
      <c r="AB44" s="34">
        <f>SUMIF(C:C,L44,F:F)</f>
        <v/>
      </c>
      <c r="AC44" s="9">
        <f>SUMIF(D:D,L44,E:E)</f>
        <v/>
      </c>
    </row>
    <row r="45">
      <c r="A45" s="34" t="n">
        <v>44</v>
      </c>
      <c r="B45" s="34" t="inlineStr">
        <is>
          <t>H</t>
        </is>
      </c>
      <c r="C45" s="34" t="inlineStr">
        <is>
          <t>Arabia Saudí</t>
        </is>
      </c>
      <c r="D45" s="34" t="inlineStr">
        <is>
          <t>Uruguay</t>
        </is>
      </c>
      <c r="E45" s="3" t="n">
        <v>1</v>
      </c>
      <c r="F45" s="3" t="n">
        <v>1</v>
      </c>
      <c r="G45" s="34">
        <f>IF(E45&gt;F45,"Local",IF(E45=F45,"Empate","Visitante"))</f>
        <v/>
      </c>
      <c r="H45" s="1">
        <f>E45-F45</f>
        <v/>
      </c>
      <c r="J45" s="32" t="n"/>
      <c r="K45" s="8" t="n">
        <v>2</v>
      </c>
      <c r="L45" s="34" t="inlineStr">
        <is>
          <t>España</t>
        </is>
      </c>
      <c r="M45" s="3">
        <f>(Q45*3)+R45</f>
        <v/>
      </c>
      <c r="N45" s="3">
        <f>O45-P45</f>
        <v/>
      </c>
      <c r="O45" s="3">
        <f>Z45+AA45</f>
        <v/>
      </c>
      <c r="P45" s="3">
        <f>AB45+AC45</f>
        <v/>
      </c>
      <c r="Q45" s="34">
        <f>T45+U45</f>
        <v/>
      </c>
      <c r="R45" s="34">
        <f>V45+W45</f>
        <v/>
      </c>
      <c r="S45" s="34">
        <f>X45+Y45</f>
        <v/>
      </c>
      <c r="T45" s="34">
        <f>COUNTIFS(C:C,L45,G:G,"Local")</f>
        <v/>
      </c>
      <c r="U45" s="34">
        <f>COUNTIFS(D:D,L45,G:G,"Visitante")</f>
        <v/>
      </c>
      <c r="V45" s="34">
        <f>COUNTIFS(C:C,L45,G:G,"Empate")</f>
        <v/>
      </c>
      <c r="W45" s="34">
        <f>COUNTIFS(D:D,L45,G:G,"Empate")</f>
        <v/>
      </c>
      <c r="X45" s="34">
        <f>COUNTIFS(C:C,L45,G:G,"Visitante")</f>
        <v/>
      </c>
      <c r="Y45" s="34">
        <f>COUNTIFS(D:D,L45,G:G,"Local")</f>
        <v/>
      </c>
      <c r="Z45" s="34">
        <f>SUMIF(C:C,L45,E:E)</f>
        <v/>
      </c>
      <c r="AA45" s="34">
        <f>SUMIF(D:D,L45,F:F)</f>
        <v/>
      </c>
      <c r="AB45" s="34">
        <f>SUMIF(C:C,L45,F:F)</f>
        <v/>
      </c>
      <c r="AC45" s="9">
        <f>SUMIF(D:D,L45,E:E)</f>
        <v/>
      </c>
    </row>
    <row r="46">
      <c r="A46" s="34" t="n">
        <v>45</v>
      </c>
      <c r="B46" s="34" t="inlineStr">
        <is>
          <t>H</t>
        </is>
      </c>
      <c r="C46" s="34" t="inlineStr">
        <is>
          <t>España</t>
        </is>
      </c>
      <c r="D46" s="34" t="inlineStr">
        <is>
          <t>Arabia Saudí</t>
        </is>
      </c>
      <c r="E46" s="3" t="n">
        <v>2</v>
      </c>
      <c r="F46" s="3" t="n">
        <v>0</v>
      </c>
      <c r="G46" s="34">
        <f>IF(E46&gt;F46,"Local",IF(E46=F46,"Empate","Visitante"))</f>
        <v/>
      </c>
      <c r="H46" s="1">
        <f>E46-F46</f>
        <v/>
      </c>
      <c r="J46" s="32" t="n"/>
      <c r="K46" s="8" t="n">
        <v>3</v>
      </c>
      <c r="L46" s="34" t="inlineStr">
        <is>
          <t>Arabia Saudí</t>
        </is>
      </c>
      <c r="M46" s="3">
        <f>(Q46*3)+R46</f>
        <v/>
      </c>
      <c r="N46" s="3">
        <f>O46-P46</f>
        <v/>
      </c>
      <c r="O46" s="3">
        <f>Z46+AA46</f>
        <v/>
      </c>
      <c r="P46" s="3">
        <f>AB46+AC46</f>
        <v/>
      </c>
      <c r="Q46" s="34">
        <f>T46+U46</f>
        <v/>
      </c>
      <c r="R46" s="34">
        <f>V46+W46</f>
        <v/>
      </c>
      <c r="S46" s="34">
        <f>X46+Y46</f>
        <v/>
      </c>
      <c r="T46" s="34">
        <f>COUNTIFS(C:C,L46,G:G,"Local")</f>
        <v/>
      </c>
      <c r="U46" s="34">
        <f>COUNTIFS(D:D,L46,G:G,"Visitante")</f>
        <v/>
      </c>
      <c r="V46" s="34">
        <f>COUNTIFS(C:C,L46,G:G,"Empate")</f>
        <v/>
      </c>
      <c r="W46" s="34">
        <f>COUNTIFS(D:D,L46,G:G,"Empate")</f>
        <v/>
      </c>
      <c r="X46" s="34">
        <f>COUNTIFS(C:C,L46,G:G,"Visitante")</f>
        <v/>
      </c>
      <c r="Y46" s="34">
        <f>COUNTIFS(D:D,L46,G:G,"Local")</f>
        <v/>
      </c>
      <c r="Z46" s="34">
        <f>SUMIF(C:C,L46,E:E)</f>
        <v/>
      </c>
      <c r="AA46" s="34">
        <f>SUMIF(D:D,L46,F:F)</f>
        <v/>
      </c>
      <c r="AB46" s="34">
        <f>SUMIF(C:C,L46,F:F)</f>
        <v/>
      </c>
      <c r="AC46" s="9">
        <f>SUMIF(D:D,L46,E:E)</f>
        <v/>
      </c>
    </row>
    <row r="47">
      <c r="A47" s="34" t="n">
        <v>46</v>
      </c>
      <c r="B47" s="34" t="inlineStr">
        <is>
          <t>H</t>
        </is>
      </c>
      <c r="C47" s="34" t="inlineStr">
        <is>
          <t>Uruguay</t>
        </is>
      </c>
      <c r="D47" s="34" t="inlineStr">
        <is>
          <t>Cabo Verde</t>
        </is>
      </c>
      <c r="E47" s="3" t="n">
        <v>2</v>
      </c>
      <c r="F47" s="3" t="n">
        <v>0</v>
      </c>
      <c r="G47" s="34">
        <f>IF(E47&gt;F47,"Local",IF(E47=F47,"Empate","Visitante"))</f>
        <v/>
      </c>
      <c r="H47" s="1">
        <f>E47-F47</f>
        <v/>
      </c>
      <c r="J47" s="33" t="n"/>
      <c r="K47" s="10" t="n">
        <v>4</v>
      </c>
      <c r="L47" s="4" t="inlineStr">
        <is>
          <t>Cabo Verde</t>
        </is>
      </c>
      <c r="M47" s="11">
        <f>(Q47*3)+R47</f>
        <v/>
      </c>
      <c r="N47" s="11">
        <f>O47-P47</f>
        <v/>
      </c>
      <c r="O47" s="11">
        <f>Z47+AA47</f>
        <v/>
      </c>
      <c r="P47" s="11">
        <f>AB47+AC47</f>
        <v/>
      </c>
      <c r="Q47" s="4">
        <f>T47+U47</f>
        <v/>
      </c>
      <c r="R47" s="4">
        <f>V47+W47</f>
        <v/>
      </c>
      <c r="S47" s="4">
        <f>X47+Y47</f>
        <v/>
      </c>
      <c r="T47" s="4">
        <f>COUNTIFS(C:C,L47,G:G,"Local")</f>
        <v/>
      </c>
      <c r="U47" s="4">
        <f>COUNTIFS(D:D,L47,G:G,"Visitante")</f>
        <v/>
      </c>
      <c r="V47" s="4">
        <f>COUNTIFS(C:C,L47,G:G,"Empate")</f>
        <v/>
      </c>
      <c r="W47" s="4">
        <f>COUNTIFS(D:D,L47,G:G,"Empate")</f>
        <v/>
      </c>
      <c r="X47" s="4">
        <f>COUNTIFS(C:C,L47,G:G,"Visitante")</f>
        <v/>
      </c>
      <c r="Y47" s="4">
        <f>COUNTIFS(D:D,L47,G:G,"Local")</f>
        <v/>
      </c>
      <c r="Z47" s="4">
        <f>SUMIF(C:C,L47,E:E)</f>
        <v/>
      </c>
      <c r="AA47" s="4">
        <f>SUMIF(D:D,L47,F:F)</f>
        <v/>
      </c>
      <c r="AB47" s="4">
        <f>SUMIF(C:C,L47,F:F)</f>
        <v/>
      </c>
      <c r="AC47" s="12">
        <f>SUMIF(D:D,L47,E:E)</f>
        <v/>
      </c>
    </row>
    <row r="48">
      <c r="A48" s="34" t="n">
        <v>47</v>
      </c>
      <c r="B48" s="34" t="inlineStr">
        <is>
          <t>H</t>
        </is>
      </c>
      <c r="C48" s="34" t="inlineStr">
        <is>
          <t>Cabo Verde</t>
        </is>
      </c>
      <c r="D48" s="34" t="inlineStr">
        <is>
          <t>Arabia Saudí</t>
        </is>
      </c>
      <c r="E48" s="3" t="n">
        <v>1</v>
      </c>
      <c r="F48" s="3" t="n">
        <v>3</v>
      </c>
      <c r="G48" s="34">
        <f>IF(E48&gt;F48,"Local",IF(E48=F48,"Empate","Visitante"))</f>
        <v/>
      </c>
      <c r="H48" s="1">
        <f>E48-F48</f>
        <v/>
      </c>
    </row>
    <row r="49">
      <c r="A49" s="34" t="n">
        <v>48</v>
      </c>
      <c r="B49" s="34" t="inlineStr">
        <is>
          <t>H</t>
        </is>
      </c>
      <c r="C49" s="34" t="inlineStr">
        <is>
          <t>Uruguay</t>
        </is>
      </c>
      <c r="D49" s="34" t="inlineStr">
        <is>
          <t>España</t>
        </is>
      </c>
      <c r="E49" s="3" t="n">
        <v>2</v>
      </c>
      <c r="F49" s="3" t="n">
        <v>1</v>
      </c>
      <c r="G49" s="34">
        <f>IF(E49&gt;F49,"Local",IF(E49=F49,"Empate","Visitante"))</f>
        <v/>
      </c>
      <c r="H49" s="1">
        <f>E49-F49</f>
        <v/>
      </c>
      <c r="J49" s="6" t="inlineStr">
        <is>
          <t>Grupo</t>
        </is>
      </c>
      <c r="K49" s="7" t="inlineStr">
        <is>
          <t>Posición</t>
        </is>
      </c>
      <c r="L49" s="34" t="inlineStr">
        <is>
          <t>Equipo</t>
        </is>
      </c>
      <c r="M49" s="34" t="inlineStr">
        <is>
          <t>Puntos</t>
        </is>
      </c>
      <c r="N49" s="34" t="inlineStr">
        <is>
          <t>Diferencia</t>
        </is>
      </c>
      <c r="O49" s="34" t="inlineStr">
        <is>
          <t>GF</t>
        </is>
      </c>
      <c r="P49" s="5" t="inlineStr">
        <is>
          <t>GC</t>
        </is>
      </c>
      <c r="Q49" s="5" t="inlineStr">
        <is>
          <t>Victorias</t>
        </is>
      </c>
      <c r="R49" s="5" t="inlineStr">
        <is>
          <t>Empates</t>
        </is>
      </c>
      <c r="S49" s="5" t="inlineStr">
        <is>
          <t>Derrotas</t>
        </is>
      </c>
      <c r="T49" s="5" t="inlineStr">
        <is>
          <t>Victorias_L</t>
        </is>
      </c>
      <c r="U49" s="5" t="inlineStr">
        <is>
          <t>Victorias_V</t>
        </is>
      </c>
      <c r="V49" s="5" t="inlineStr">
        <is>
          <t>Empates_L</t>
        </is>
      </c>
      <c r="W49" s="5" t="inlineStr">
        <is>
          <t>Empates_V</t>
        </is>
      </c>
      <c r="X49" s="5" t="inlineStr">
        <is>
          <t>Derrotas_L</t>
        </is>
      </c>
      <c r="Y49" s="5" t="inlineStr">
        <is>
          <t>Derrotas_V</t>
        </is>
      </c>
      <c r="Z49" s="5" t="inlineStr">
        <is>
          <t>GF_L</t>
        </is>
      </c>
      <c r="AA49" s="5" t="inlineStr">
        <is>
          <t>GF_V</t>
        </is>
      </c>
      <c r="AB49" s="5" t="inlineStr">
        <is>
          <t>GC_L</t>
        </is>
      </c>
      <c r="AC49" s="7" t="inlineStr">
        <is>
          <t>GC_V</t>
        </is>
      </c>
    </row>
    <row r="50">
      <c r="A50" s="34" t="n">
        <v>49</v>
      </c>
      <c r="B50" s="34" t="inlineStr">
        <is>
          <t>I</t>
        </is>
      </c>
      <c r="C50" s="34" t="inlineStr">
        <is>
          <t>Francia</t>
        </is>
      </c>
      <c r="D50" s="34" t="inlineStr">
        <is>
          <t>Senegal</t>
        </is>
      </c>
      <c r="E50" s="3" t="n">
        <v>3</v>
      </c>
      <c r="F50" s="3" t="n">
        <v>1</v>
      </c>
      <c r="G50" s="34">
        <f>IF(E50&gt;F50,"Local",IF(E50=F50,"Empate","Visitante"))</f>
        <v/>
      </c>
      <c r="H50" s="1">
        <f>E50-F50</f>
        <v/>
      </c>
      <c r="J50" s="34" t="inlineStr">
        <is>
          <t>I</t>
        </is>
      </c>
      <c r="K50" s="8" t="n">
        <v>1</v>
      </c>
      <c r="L50" s="34" t="inlineStr">
        <is>
          <t>Francia</t>
        </is>
      </c>
      <c r="M50" s="3">
        <f>(Q50*3)+R50</f>
        <v/>
      </c>
      <c r="N50" s="3">
        <f>O50-P50</f>
        <v/>
      </c>
      <c r="O50" s="3">
        <f>Z50+AA50</f>
        <v/>
      </c>
      <c r="P50" s="3">
        <f>AB50+AC50</f>
        <v/>
      </c>
      <c r="Q50" s="34">
        <f>T50+U50</f>
        <v/>
      </c>
      <c r="R50" s="34">
        <f>V50+W50</f>
        <v/>
      </c>
      <c r="S50" s="34">
        <f>X50+Y50</f>
        <v/>
      </c>
      <c r="T50" s="34">
        <f>COUNTIFS(C:C,L50,G:G,"Local")</f>
        <v/>
      </c>
      <c r="U50" s="34">
        <f>COUNTIFS(D:D,L50,G:G,"Visitante")</f>
        <v/>
      </c>
      <c r="V50" s="34">
        <f>COUNTIFS(C:C,L50,G:G,"Empate")</f>
        <v/>
      </c>
      <c r="W50" s="34">
        <f>COUNTIFS(D:D,L50,G:G,"Empate")</f>
        <v/>
      </c>
      <c r="X50" s="34">
        <f>COUNTIFS(C:C,L50,G:G,"Visitante")</f>
        <v/>
      </c>
      <c r="Y50" s="34">
        <f>COUNTIFS(D:D,L50,G:G,"Local")</f>
        <v/>
      </c>
      <c r="Z50" s="34">
        <f>SUMIF(C:C,L50,E:E)</f>
        <v/>
      </c>
      <c r="AA50" s="34">
        <f>SUMIF(D:D,L50,F:F)</f>
        <v/>
      </c>
      <c r="AB50" s="34">
        <f>SUMIF(C:C,L50,F:F)</f>
        <v/>
      </c>
      <c r="AC50" s="9">
        <f>SUMIF(D:D,L50,E:E)</f>
        <v/>
      </c>
    </row>
    <row r="51">
      <c r="A51" s="34" t="n">
        <v>50</v>
      </c>
      <c r="B51" s="34" t="inlineStr">
        <is>
          <t>I</t>
        </is>
      </c>
      <c r="C51" s="34" t="inlineStr">
        <is>
          <t>Irak</t>
        </is>
      </c>
      <c r="D51" s="34" t="inlineStr">
        <is>
          <t>Noruega</t>
        </is>
      </c>
      <c r="E51" s="3" t="n">
        <v>0</v>
      </c>
      <c r="F51" s="3" t="n">
        <v>2</v>
      </c>
      <c r="G51" s="34">
        <f>IF(E51&gt;F51,"Local",IF(E51=F51,"Empate","Visitante"))</f>
        <v/>
      </c>
      <c r="H51" s="1">
        <f>E51-F51</f>
        <v/>
      </c>
      <c r="J51" s="32" t="n"/>
      <c r="K51" s="8" t="n">
        <v>2</v>
      </c>
      <c r="L51" s="34" t="inlineStr">
        <is>
          <t>Noruega</t>
        </is>
      </c>
      <c r="M51" s="3">
        <f>(Q51*3)+R51</f>
        <v/>
      </c>
      <c r="N51" s="3">
        <f>O51-P51</f>
        <v/>
      </c>
      <c r="O51" s="3">
        <f>Z51+AA51</f>
        <v/>
      </c>
      <c r="P51" s="3">
        <f>AB51+AC51</f>
        <v/>
      </c>
      <c r="Q51" s="34">
        <f>T51+U51</f>
        <v/>
      </c>
      <c r="R51" s="34">
        <f>V51+W51</f>
        <v/>
      </c>
      <c r="S51" s="34">
        <f>X51+Y51</f>
        <v/>
      </c>
      <c r="T51" s="34">
        <f>COUNTIFS(C:C,L51,G:G,"Local")</f>
        <v/>
      </c>
      <c r="U51" s="34">
        <f>COUNTIFS(D:D,L51,G:G,"Visitante")</f>
        <v/>
      </c>
      <c r="V51" s="34">
        <f>COUNTIFS(C:C,L51,G:G,"Empate")</f>
        <v/>
      </c>
      <c r="W51" s="34">
        <f>COUNTIFS(D:D,L51,G:G,"Empate")</f>
        <v/>
      </c>
      <c r="X51" s="34">
        <f>COUNTIFS(C:C,L51,G:G,"Visitante")</f>
        <v/>
      </c>
      <c r="Y51" s="34">
        <f>COUNTIFS(D:D,L51,G:G,"Local")</f>
        <v/>
      </c>
      <c r="Z51" s="34">
        <f>SUMIF(C:C,L51,E:E)</f>
        <v/>
      </c>
      <c r="AA51" s="34">
        <f>SUMIF(D:D,L51,F:F)</f>
        <v/>
      </c>
      <c r="AB51" s="34">
        <f>SUMIF(C:C,L51,F:F)</f>
        <v/>
      </c>
      <c r="AC51" s="9">
        <f>SUMIF(D:D,L51,E:E)</f>
        <v/>
      </c>
    </row>
    <row r="52">
      <c r="A52" s="34" t="n">
        <v>51</v>
      </c>
      <c r="B52" s="34" t="inlineStr">
        <is>
          <t>I</t>
        </is>
      </c>
      <c r="C52" s="34" t="inlineStr">
        <is>
          <t>Francia</t>
        </is>
      </c>
      <c r="D52" s="34" t="inlineStr">
        <is>
          <t>Irak</t>
        </is>
      </c>
      <c r="E52" s="3" t="n">
        <v>2</v>
      </c>
      <c r="F52" s="3" t="n">
        <v>0</v>
      </c>
      <c r="G52" s="34">
        <f>IF(E52&gt;F52,"Local",IF(E52=F52,"Empate","Visitante"))</f>
        <v/>
      </c>
      <c r="H52" s="1">
        <f>E52-F52</f>
        <v/>
      </c>
      <c r="J52" s="32" t="n"/>
      <c r="K52" s="8" t="n">
        <v>3</v>
      </c>
      <c r="L52" s="34" t="inlineStr">
        <is>
          <t>Senegal</t>
        </is>
      </c>
      <c r="M52" s="3">
        <f>(Q52*3)+R52</f>
        <v/>
      </c>
      <c r="N52" s="3">
        <f>O52-P52</f>
        <v/>
      </c>
      <c r="O52" s="3">
        <f>Z52+AA52</f>
        <v/>
      </c>
      <c r="P52" s="3">
        <f>AB52+AC52</f>
        <v/>
      </c>
      <c r="Q52" s="34">
        <f>T52+U52</f>
        <v/>
      </c>
      <c r="R52" s="34">
        <f>V52+W52</f>
        <v/>
      </c>
      <c r="S52" s="34">
        <f>X52+Y52</f>
        <v/>
      </c>
      <c r="T52" s="34">
        <f>COUNTIFS(C:C,L52,G:G,"Local")</f>
        <v/>
      </c>
      <c r="U52" s="34">
        <f>COUNTIFS(D:D,L52,G:G,"Visitante")</f>
        <v/>
      </c>
      <c r="V52" s="34">
        <f>COUNTIFS(C:C,L52,G:G,"Empate")</f>
        <v/>
      </c>
      <c r="W52" s="34">
        <f>COUNTIFS(D:D,L52,G:G,"Empate")</f>
        <v/>
      </c>
      <c r="X52" s="34">
        <f>COUNTIFS(C:C,L52,G:G,"Visitante")</f>
        <v/>
      </c>
      <c r="Y52" s="34">
        <f>COUNTIFS(D:D,L52,G:G,"Local")</f>
        <v/>
      </c>
      <c r="Z52" s="34">
        <f>SUMIF(C:C,L52,E:E)</f>
        <v/>
      </c>
      <c r="AA52" s="34">
        <f>SUMIF(D:D,L52,F:F)</f>
        <v/>
      </c>
      <c r="AB52" s="34">
        <f>SUMIF(C:C,L52,F:F)</f>
        <v/>
      </c>
      <c r="AC52" s="9">
        <f>SUMIF(D:D,L52,E:E)</f>
        <v/>
      </c>
    </row>
    <row r="53">
      <c r="A53" s="34" t="n">
        <v>52</v>
      </c>
      <c r="B53" s="34" t="inlineStr">
        <is>
          <t>I</t>
        </is>
      </c>
      <c r="C53" s="34" t="inlineStr">
        <is>
          <t>Noruega</t>
        </is>
      </c>
      <c r="D53" s="34" t="inlineStr">
        <is>
          <t>Senegal</t>
        </is>
      </c>
      <c r="E53" s="3" t="n">
        <v>2</v>
      </c>
      <c r="F53" s="3" t="n">
        <v>2</v>
      </c>
      <c r="G53" s="34">
        <f>IF(E53&gt;F53,"Local",IF(E53=F53,"Empate","Visitante"))</f>
        <v/>
      </c>
      <c r="H53" s="1">
        <f>E53-F53</f>
        <v/>
      </c>
      <c r="J53" s="33" t="n"/>
      <c r="K53" s="10" t="n">
        <v>4</v>
      </c>
      <c r="L53" s="4" t="inlineStr">
        <is>
          <t>Irak</t>
        </is>
      </c>
      <c r="M53" s="11">
        <f>(Q53*3)+R53</f>
        <v/>
      </c>
      <c r="N53" s="11">
        <f>O53-P53</f>
        <v/>
      </c>
      <c r="O53" s="11">
        <f>Z53+AA53</f>
        <v/>
      </c>
      <c r="P53" s="11">
        <f>AB53+AC53</f>
        <v/>
      </c>
      <c r="Q53" s="4">
        <f>T53+U53</f>
        <v/>
      </c>
      <c r="R53" s="4">
        <f>V53+W53</f>
        <v/>
      </c>
      <c r="S53" s="4">
        <f>X53+Y53</f>
        <v/>
      </c>
      <c r="T53" s="4">
        <f>COUNTIFS(C:C,L53,G:G,"Local")</f>
        <v/>
      </c>
      <c r="U53" s="4">
        <f>COUNTIFS(D:D,L53,G:G,"Visitante")</f>
        <v/>
      </c>
      <c r="V53" s="4">
        <f>COUNTIFS(C:C,L53,G:G,"Empate")</f>
        <v/>
      </c>
      <c r="W53" s="4">
        <f>COUNTIFS(D:D,L53,G:G,"Empate")</f>
        <v/>
      </c>
      <c r="X53" s="4">
        <f>COUNTIFS(C:C,L53,G:G,"Visitante")</f>
        <v/>
      </c>
      <c r="Y53" s="4">
        <f>COUNTIFS(D:D,L53,G:G,"Local")</f>
        <v/>
      </c>
      <c r="Z53" s="4">
        <f>SUMIF(C:C,L53,E:E)</f>
        <v/>
      </c>
      <c r="AA53" s="4">
        <f>SUMIF(D:D,L53,F:F)</f>
        <v/>
      </c>
      <c r="AB53" s="4">
        <f>SUMIF(C:C,L53,F:F)</f>
        <v/>
      </c>
      <c r="AC53" s="12">
        <f>SUMIF(D:D,L53,E:E)</f>
        <v/>
      </c>
    </row>
    <row r="54">
      <c r="A54" s="34" t="n">
        <v>53</v>
      </c>
      <c r="B54" s="34" t="inlineStr">
        <is>
          <t>I</t>
        </is>
      </c>
      <c r="C54" s="34" t="inlineStr">
        <is>
          <t>Noruega</t>
        </is>
      </c>
      <c r="D54" s="34" t="inlineStr">
        <is>
          <t>Francia</t>
        </is>
      </c>
      <c r="E54" s="3" t="n">
        <v>0</v>
      </c>
      <c r="F54" s="3" t="n">
        <v>2</v>
      </c>
      <c r="G54" s="34">
        <f>IF(E54&gt;F54,"Local",IF(E54=F54,"Empate","Visitante"))</f>
        <v/>
      </c>
      <c r="H54" s="1">
        <f>E54-F54</f>
        <v/>
      </c>
    </row>
    <row r="55">
      <c r="A55" s="34" t="n">
        <v>54</v>
      </c>
      <c r="B55" s="34" t="inlineStr">
        <is>
          <t>I</t>
        </is>
      </c>
      <c r="C55" s="34" t="inlineStr">
        <is>
          <t>Senegal</t>
        </is>
      </c>
      <c r="D55" s="34" t="inlineStr">
        <is>
          <t>Irak</t>
        </is>
      </c>
      <c r="E55" s="3" t="n">
        <v>1</v>
      </c>
      <c r="F55" s="3" t="n">
        <v>0</v>
      </c>
      <c r="G55" s="34">
        <f>IF(E55&gt;F55,"Local",IF(E55=F55,"Empate","Visitante"))</f>
        <v/>
      </c>
      <c r="H55" s="1">
        <f>E55-F55</f>
        <v/>
      </c>
      <c r="J55" s="6" t="inlineStr">
        <is>
          <t>Grupo</t>
        </is>
      </c>
      <c r="K55" s="7" t="inlineStr">
        <is>
          <t>Posición</t>
        </is>
      </c>
      <c r="L55" s="34" t="inlineStr">
        <is>
          <t>Equipo</t>
        </is>
      </c>
      <c r="M55" s="34" t="inlineStr">
        <is>
          <t>Puntos</t>
        </is>
      </c>
      <c r="N55" s="34" t="inlineStr">
        <is>
          <t>Diferencia</t>
        </is>
      </c>
      <c r="O55" s="34" t="inlineStr">
        <is>
          <t>GF</t>
        </is>
      </c>
      <c r="P55" s="5" t="inlineStr">
        <is>
          <t>GC</t>
        </is>
      </c>
      <c r="Q55" s="5" t="inlineStr">
        <is>
          <t>Victorias</t>
        </is>
      </c>
      <c r="R55" s="5" t="inlineStr">
        <is>
          <t>Empates</t>
        </is>
      </c>
      <c r="S55" s="5" t="inlineStr">
        <is>
          <t>Derrotas</t>
        </is>
      </c>
      <c r="T55" s="5" t="inlineStr">
        <is>
          <t>Victorias_L</t>
        </is>
      </c>
      <c r="U55" s="5" t="inlineStr">
        <is>
          <t>Victorias_V</t>
        </is>
      </c>
      <c r="V55" s="5" t="inlineStr">
        <is>
          <t>Empates_L</t>
        </is>
      </c>
      <c r="W55" s="5" t="inlineStr">
        <is>
          <t>Empates_V</t>
        </is>
      </c>
      <c r="X55" s="5" t="inlineStr">
        <is>
          <t>Derrotas_L</t>
        </is>
      </c>
      <c r="Y55" s="5" t="inlineStr">
        <is>
          <t>Derrotas_V</t>
        </is>
      </c>
      <c r="Z55" s="5" t="inlineStr">
        <is>
          <t>GF_L</t>
        </is>
      </c>
      <c r="AA55" s="5" t="inlineStr">
        <is>
          <t>GF_V</t>
        </is>
      </c>
      <c r="AB55" s="5" t="inlineStr">
        <is>
          <t>GC_L</t>
        </is>
      </c>
      <c r="AC55" s="7" t="inlineStr">
        <is>
          <t>GC_V</t>
        </is>
      </c>
    </row>
    <row r="56">
      <c r="A56" s="34" t="n">
        <v>55</v>
      </c>
      <c r="B56" s="34" t="inlineStr">
        <is>
          <t>J</t>
        </is>
      </c>
      <c r="C56" s="34" t="inlineStr">
        <is>
          <t>Argentina</t>
        </is>
      </c>
      <c r="D56" s="34" t="inlineStr">
        <is>
          <t>Argelia</t>
        </is>
      </c>
      <c r="E56" s="3" t="n">
        <v>3</v>
      </c>
      <c r="F56" s="3" t="n">
        <v>1</v>
      </c>
      <c r="G56" s="34">
        <f>IF(E56&gt;F56,"Local",IF(E56=F56,"Empate","Visitante"))</f>
        <v/>
      </c>
      <c r="H56" s="1">
        <f>E56-F56</f>
        <v/>
      </c>
      <c r="J56" s="34" t="inlineStr">
        <is>
          <t>J</t>
        </is>
      </c>
      <c r="K56" s="8" t="n">
        <v>1</v>
      </c>
      <c r="L56" s="34" t="inlineStr">
        <is>
          <t>Argentina</t>
        </is>
      </c>
      <c r="M56" s="3">
        <f>(Q56*3)+R56</f>
        <v/>
      </c>
      <c r="N56" s="3">
        <f>O56-P56</f>
        <v/>
      </c>
      <c r="O56" s="3">
        <f>Z56+AA56</f>
        <v/>
      </c>
      <c r="P56" s="3">
        <f>AB56+AC56</f>
        <v/>
      </c>
      <c r="Q56" s="34">
        <f>T56+U56</f>
        <v/>
      </c>
      <c r="R56" s="34">
        <f>V56+W56</f>
        <v/>
      </c>
      <c r="S56" s="34">
        <f>X56+Y56</f>
        <v/>
      </c>
      <c r="T56" s="34">
        <f>COUNTIFS(C:C,L56,G:G,"Local")</f>
        <v/>
      </c>
      <c r="U56" s="34">
        <f>COUNTIFS(D:D,L56,G:G,"Visitante")</f>
        <v/>
      </c>
      <c r="V56" s="34">
        <f>COUNTIFS(C:C,L56,G:G,"Empate")</f>
        <v/>
      </c>
      <c r="W56" s="34">
        <f>COUNTIFS(D:D,L56,G:G,"Empate")</f>
        <v/>
      </c>
      <c r="X56" s="34">
        <f>COUNTIFS(C:C,L56,G:G,"Visitante")</f>
        <v/>
      </c>
      <c r="Y56" s="34">
        <f>COUNTIFS(D:D,L56,G:G,"Local")</f>
        <v/>
      </c>
      <c r="Z56" s="34">
        <f>SUMIF(C:C,L56,E:E)</f>
        <v/>
      </c>
      <c r="AA56" s="34">
        <f>SUMIF(D:D,L56,F:F)</f>
        <v/>
      </c>
      <c r="AB56" s="34">
        <f>SUMIF(C:C,L56,F:F)</f>
        <v/>
      </c>
      <c r="AC56" s="9">
        <f>SUMIF(D:D,L56,E:E)</f>
        <v/>
      </c>
    </row>
    <row r="57">
      <c r="A57" s="34" t="n">
        <v>56</v>
      </c>
      <c r="B57" s="34" t="inlineStr">
        <is>
          <t>J</t>
        </is>
      </c>
      <c r="C57" s="34" t="inlineStr">
        <is>
          <t>Austria</t>
        </is>
      </c>
      <c r="D57" s="34" t="inlineStr">
        <is>
          <t>Jordania</t>
        </is>
      </c>
      <c r="E57" s="3" t="n">
        <v>1</v>
      </c>
      <c r="F57" s="3" t="n">
        <v>0</v>
      </c>
      <c r="G57" s="34">
        <f>IF(E57&gt;F57,"Local",IF(E57=F57,"Empate","Visitante"))</f>
        <v/>
      </c>
      <c r="H57" s="1">
        <f>E57-F57</f>
        <v/>
      </c>
      <c r="J57" s="32" t="n"/>
      <c r="K57" s="8" t="n">
        <v>2</v>
      </c>
      <c r="L57" s="34" t="inlineStr">
        <is>
          <t>Austria</t>
        </is>
      </c>
      <c r="M57" s="3">
        <f>(Q57*3)+R57</f>
        <v/>
      </c>
      <c r="N57" s="3">
        <f>O57-P57</f>
        <v/>
      </c>
      <c r="O57" s="3">
        <f>Z57+AA57</f>
        <v/>
      </c>
      <c r="P57" s="3">
        <f>AB57+AC57</f>
        <v/>
      </c>
      <c r="Q57" s="34">
        <f>T57+U57</f>
        <v/>
      </c>
      <c r="R57" s="34">
        <f>V57+W57</f>
        <v/>
      </c>
      <c r="S57" s="34">
        <f>X57+Y57</f>
        <v/>
      </c>
      <c r="T57" s="34">
        <f>COUNTIFS(C:C,L57,G:G,"Local")</f>
        <v/>
      </c>
      <c r="U57" s="34">
        <f>COUNTIFS(D:D,L57,G:G,"Visitante")</f>
        <v/>
      </c>
      <c r="V57" s="34">
        <f>COUNTIFS(C:C,L57,G:G,"Empate")</f>
        <v/>
      </c>
      <c r="W57" s="34">
        <f>COUNTIFS(D:D,L57,G:G,"Empate")</f>
        <v/>
      </c>
      <c r="X57" s="34">
        <f>COUNTIFS(C:C,L57,G:G,"Visitante")</f>
        <v/>
      </c>
      <c r="Y57" s="34">
        <f>COUNTIFS(D:D,L57,G:G,"Local")</f>
        <v/>
      </c>
      <c r="Z57" s="34">
        <f>SUMIF(C:C,L57,E:E)</f>
        <v/>
      </c>
      <c r="AA57" s="34">
        <f>SUMIF(D:D,L57,F:F)</f>
        <v/>
      </c>
      <c r="AB57" s="34">
        <f>SUMIF(C:C,L57,F:F)</f>
        <v/>
      </c>
      <c r="AC57" s="9">
        <f>SUMIF(D:D,L57,E:E)</f>
        <v/>
      </c>
    </row>
    <row r="58">
      <c r="A58" s="34" t="n">
        <v>57</v>
      </c>
      <c r="B58" s="34" t="inlineStr">
        <is>
          <t>J</t>
        </is>
      </c>
      <c r="C58" s="34" t="inlineStr">
        <is>
          <t>Argentina</t>
        </is>
      </c>
      <c r="D58" s="34" t="inlineStr">
        <is>
          <t>Austria</t>
        </is>
      </c>
      <c r="E58" s="3" t="n">
        <v>1</v>
      </c>
      <c r="F58" s="3" t="n">
        <v>0</v>
      </c>
      <c r="G58" s="34">
        <f>IF(E58&gt;F58,"Local",IF(E58=F58,"Empate","Visitante"))</f>
        <v/>
      </c>
      <c r="H58" s="1">
        <f>E58-F58</f>
        <v/>
      </c>
      <c r="J58" s="32" t="n"/>
      <c r="K58" s="8" t="n">
        <v>3</v>
      </c>
      <c r="L58" s="34" t="inlineStr">
        <is>
          <t>Jordania</t>
        </is>
      </c>
      <c r="M58" s="3">
        <f>(Q58*3)+R58</f>
        <v/>
      </c>
      <c r="N58" s="3">
        <f>O58-P58</f>
        <v/>
      </c>
      <c r="O58" s="3">
        <f>Z58+AA58</f>
        <v/>
      </c>
      <c r="P58" s="3">
        <f>AB58+AC58</f>
        <v/>
      </c>
      <c r="Q58" s="34">
        <f>T58+U58</f>
        <v/>
      </c>
      <c r="R58" s="34">
        <f>V58+W58</f>
        <v/>
      </c>
      <c r="S58" s="34">
        <f>X58+Y58</f>
        <v/>
      </c>
      <c r="T58" s="34">
        <f>COUNTIFS(C:C,L58,G:G,"Local")</f>
        <v/>
      </c>
      <c r="U58" s="34">
        <f>COUNTIFS(D:D,L58,G:G,"Visitante")</f>
        <v/>
      </c>
      <c r="V58" s="34">
        <f>COUNTIFS(C:C,L58,G:G,"Empate")</f>
        <v/>
      </c>
      <c r="W58" s="34">
        <f>COUNTIFS(D:D,L58,G:G,"Empate")</f>
        <v/>
      </c>
      <c r="X58" s="34">
        <f>COUNTIFS(C:C,L58,G:G,"Visitante")</f>
        <v/>
      </c>
      <c r="Y58" s="34">
        <f>COUNTIFS(D:D,L58,G:G,"Local")</f>
        <v/>
      </c>
      <c r="Z58" s="34">
        <f>SUMIF(C:C,L58,E:E)</f>
        <v/>
      </c>
      <c r="AA58" s="34">
        <f>SUMIF(D:D,L58,F:F)</f>
        <v/>
      </c>
      <c r="AB58" s="34">
        <f>SUMIF(C:C,L58,F:F)</f>
        <v/>
      </c>
      <c r="AC58" s="9">
        <f>SUMIF(D:D,L58,E:E)</f>
        <v/>
      </c>
    </row>
    <row r="59">
      <c r="A59" s="34" t="n">
        <v>58</v>
      </c>
      <c r="B59" s="34" t="inlineStr">
        <is>
          <t>J</t>
        </is>
      </c>
      <c r="C59" s="34" t="inlineStr">
        <is>
          <t>Jordania</t>
        </is>
      </c>
      <c r="D59" s="34" t="inlineStr">
        <is>
          <t>Argelia</t>
        </is>
      </c>
      <c r="E59" s="3" t="n">
        <v>0</v>
      </c>
      <c r="F59" s="3" t="n">
        <v>0</v>
      </c>
      <c r="G59" s="34">
        <f>IF(E59&gt;F59,"Local",IF(E59=F59,"Empate","Visitante"))</f>
        <v/>
      </c>
      <c r="H59" s="1">
        <f>E59-F59</f>
        <v/>
      </c>
      <c r="J59" s="33" t="n"/>
      <c r="K59" s="10" t="n">
        <v>4</v>
      </c>
      <c r="L59" s="4" t="inlineStr">
        <is>
          <t>Argelia</t>
        </is>
      </c>
      <c r="M59" s="11">
        <f>(Q59*3)+R59</f>
        <v/>
      </c>
      <c r="N59" s="11">
        <f>O59-P59</f>
        <v/>
      </c>
      <c r="O59" s="11">
        <f>Z59+AA59</f>
        <v/>
      </c>
      <c r="P59" s="11">
        <f>AB59+AC59</f>
        <v/>
      </c>
      <c r="Q59" s="4">
        <f>T59+U59</f>
        <v/>
      </c>
      <c r="R59" s="4">
        <f>V59+W59</f>
        <v/>
      </c>
      <c r="S59" s="4">
        <f>X59+Y59</f>
        <v/>
      </c>
      <c r="T59" s="4">
        <f>COUNTIFS(C:C,L59,G:G,"Local")</f>
        <v/>
      </c>
      <c r="U59" s="4">
        <f>COUNTIFS(D:D,L59,G:G,"Visitante")</f>
        <v/>
      </c>
      <c r="V59" s="4">
        <f>COUNTIFS(C:C,L59,G:G,"Empate")</f>
        <v/>
      </c>
      <c r="W59" s="4">
        <f>COUNTIFS(D:D,L59,G:G,"Empate")</f>
        <v/>
      </c>
      <c r="X59" s="4">
        <f>COUNTIFS(C:C,L59,G:G,"Visitante")</f>
        <v/>
      </c>
      <c r="Y59" s="4">
        <f>COUNTIFS(D:D,L59,G:G,"Local")</f>
        <v/>
      </c>
      <c r="Z59" s="4">
        <f>SUMIF(C:C,L59,E:E)</f>
        <v/>
      </c>
      <c r="AA59" s="4">
        <f>SUMIF(D:D,L59,F:F)</f>
        <v/>
      </c>
      <c r="AB59" s="4">
        <f>SUMIF(C:C,L59,F:F)</f>
        <v/>
      </c>
      <c r="AC59" s="12">
        <f>SUMIF(D:D,L59,E:E)</f>
        <v/>
      </c>
    </row>
    <row r="60">
      <c r="A60" s="34" t="n">
        <v>59</v>
      </c>
      <c r="B60" s="34" t="inlineStr">
        <is>
          <t>J</t>
        </is>
      </c>
      <c r="C60" s="34" t="inlineStr">
        <is>
          <t>Argelia</t>
        </is>
      </c>
      <c r="D60" s="34" t="inlineStr">
        <is>
          <t>Austria</t>
        </is>
      </c>
      <c r="E60" s="3" t="n">
        <v>0</v>
      </c>
      <c r="F60" s="3" t="n">
        <v>1</v>
      </c>
      <c r="G60" s="34">
        <f>IF(E60&gt;F60,"Local",IF(E60=F60,"Empate","Visitante"))</f>
        <v/>
      </c>
      <c r="H60" s="1">
        <f>E60-F60</f>
        <v/>
      </c>
    </row>
    <row r="61">
      <c r="A61" s="34" t="n">
        <v>60</v>
      </c>
      <c r="B61" s="34" t="inlineStr">
        <is>
          <t>J</t>
        </is>
      </c>
      <c r="C61" s="34" t="inlineStr">
        <is>
          <t>Jordania</t>
        </is>
      </c>
      <c r="D61" s="34" t="inlineStr">
        <is>
          <t>Argentina</t>
        </is>
      </c>
      <c r="E61" s="3" t="n">
        <v>1</v>
      </c>
      <c r="F61" s="3" t="n">
        <v>2</v>
      </c>
      <c r="G61" s="34">
        <f>IF(E61&gt;F61,"Local",IF(E61=F61,"Empate","Visitante"))</f>
        <v/>
      </c>
      <c r="H61" s="1">
        <f>E61-F61</f>
        <v/>
      </c>
      <c r="J61" s="6" t="inlineStr">
        <is>
          <t>Grupo</t>
        </is>
      </c>
      <c r="K61" s="7" t="inlineStr">
        <is>
          <t>Posición</t>
        </is>
      </c>
      <c r="L61" s="34" t="inlineStr">
        <is>
          <t>Equipo</t>
        </is>
      </c>
      <c r="M61" s="34" t="inlineStr">
        <is>
          <t>Puntos</t>
        </is>
      </c>
      <c r="N61" s="34" t="inlineStr">
        <is>
          <t>Diferencia</t>
        </is>
      </c>
      <c r="O61" s="34" t="inlineStr">
        <is>
          <t>GF</t>
        </is>
      </c>
      <c r="P61" s="5" t="inlineStr">
        <is>
          <t>GC</t>
        </is>
      </c>
      <c r="Q61" s="5" t="inlineStr">
        <is>
          <t>Victorias</t>
        </is>
      </c>
      <c r="R61" s="5" t="inlineStr">
        <is>
          <t>Empates</t>
        </is>
      </c>
      <c r="S61" s="5" t="inlineStr">
        <is>
          <t>Derrotas</t>
        </is>
      </c>
      <c r="T61" s="5" t="inlineStr">
        <is>
          <t>Victorias_L</t>
        </is>
      </c>
      <c r="U61" s="5" t="inlineStr">
        <is>
          <t>Victorias_V</t>
        </is>
      </c>
      <c r="V61" s="5" t="inlineStr">
        <is>
          <t>Empates_L</t>
        </is>
      </c>
      <c r="W61" s="5" t="inlineStr">
        <is>
          <t>Empates_V</t>
        </is>
      </c>
      <c r="X61" s="5" t="inlineStr">
        <is>
          <t>Derrotas_L</t>
        </is>
      </c>
      <c r="Y61" s="5" t="inlineStr">
        <is>
          <t>Derrotas_V</t>
        </is>
      </c>
      <c r="Z61" s="5" t="inlineStr">
        <is>
          <t>GF_L</t>
        </is>
      </c>
      <c r="AA61" s="5" t="inlineStr">
        <is>
          <t>GF_V</t>
        </is>
      </c>
      <c r="AB61" s="5" t="inlineStr">
        <is>
          <t>GC_L</t>
        </is>
      </c>
      <c r="AC61" s="7" t="inlineStr">
        <is>
          <t>GC_V</t>
        </is>
      </c>
    </row>
    <row r="62">
      <c r="A62" s="34" t="n">
        <v>61</v>
      </c>
      <c r="B62" s="34" t="inlineStr">
        <is>
          <t>K</t>
        </is>
      </c>
      <c r="C62" s="34" t="inlineStr">
        <is>
          <t>Portugal</t>
        </is>
      </c>
      <c r="D62" s="34" t="inlineStr">
        <is>
          <t>RD Congo</t>
        </is>
      </c>
      <c r="E62" s="3" t="n">
        <v>2</v>
      </c>
      <c r="F62" s="3" t="n">
        <v>1</v>
      </c>
      <c r="G62" s="34">
        <f>IF(E62&gt;F62,"Local",IF(E62=F62,"Empate","Visitante"))</f>
        <v/>
      </c>
      <c r="H62" s="1">
        <f>E62-F62</f>
        <v/>
      </c>
      <c r="J62" s="34" t="inlineStr">
        <is>
          <t>K</t>
        </is>
      </c>
      <c r="K62" s="8" t="n">
        <v>1</v>
      </c>
      <c r="L62" s="34" t="inlineStr">
        <is>
          <t>Portugal</t>
        </is>
      </c>
      <c r="M62" s="3">
        <f>(Q62*3)+R62</f>
        <v/>
      </c>
      <c r="N62" s="3">
        <f>O62-P62</f>
        <v/>
      </c>
      <c r="O62" s="3">
        <f>Z62+AA62</f>
        <v/>
      </c>
      <c r="P62" s="3">
        <f>AB62+AC62</f>
        <v/>
      </c>
      <c r="Q62" s="34">
        <f>T62+U62</f>
        <v/>
      </c>
      <c r="R62" s="34">
        <f>V62+W62</f>
        <v/>
      </c>
      <c r="S62" s="34">
        <f>X62+Y62</f>
        <v/>
      </c>
      <c r="T62" s="34">
        <f>COUNTIFS(C:C,L62,G:G,"Local")</f>
        <v/>
      </c>
      <c r="U62" s="34">
        <f>COUNTIFS(D:D,L62,G:G,"Visitante")</f>
        <v/>
      </c>
      <c r="V62" s="34">
        <f>COUNTIFS(C:C,L62,G:G,"Empate")</f>
        <v/>
      </c>
      <c r="W62" s="34">
        <f>COUNTIFS(D:D,L62,G:G,"Empate")</f>
        <v/>
      </c>
      <c r="X62" s="34">
        <f>COUNTIFS(C:C,L62,G:G,"Visitante")</f>
        <v/>
      </c>
      <c r="Y62" s="34">
        <f>COUNTIFS(D:D,L62,G:G,"Local")</f>
        <v/>
      </c>
      <c r="Z62" s="34">
        <f>SUMIF(C:C,L62,E:E)</f>
        <v/>
      </c>
      <c r="AA62" s="34">
        <f>SUMIF(D:D,L62,F:F)</f>
        <v/>
      </c>
      <c r="AB62" s="34">
        <f>SUMIF(C:C,L62,F:F)</f>
        <v/>
      </c>
      <c r="AC62" s="9">
        <f>SUMIF(D:D,L62,E:E)</f>
        <v/>
      </c>
    </row>
    <row r="63">
      <c r="A63" s="34" t="n">
        <v>62</v>
      </c>
      <c r="B63" s="34" t="inlineStr">
        <is>
          <t>K</t>
        </is>
      </c>
      <c r="C63" s="34" t="inlineStr">
        <is>
          <t>Uzbekistán</t>
        </is>
      </c>
      <c r="D63" s="34" t="inlineStr">
        <is>
          <t>Colombia</t>
        </is>
      </c>
      <c r="E63" s="3" t="n">
        <v>0</v>
      </c>
      <c r="F63" s="3" t="n">
        <v>2</v>
      </c>
      <c r="G63" s="34">
        <f>IF(E63&gt;F63,"Local",IF(E63=F63,"Empate","Visitante"))</f>
        <v/>
      </c>
      <c r="H63" s="1">
        <f>E63-F63</f>
        <v/>
      </c>
      <c r="J63" s="32" t="n"/>
      <c r="K63" s="8" t="n">
        <v>2</v>
      </c>
      <c r="L63" s="34" t="inlineStr">
        <is>
          <t>Colombia</t>
        </is>
      </c>
      <c r="M63" s="3">
        <f>(Q63*3)+R63</f>
        <v/>
      </c>
      <c r="N63" s="3">
        <f>O63-P63</f>
        <v/>
      </c>
      <c r="O63" s="3">
        <f>Z63+AA63</f>
        <v/>
      </c>
      <c r="P63" s="3">
        <f>AB63+AC63</f>
        <v/>
      </c>
      <c r="Q63" s="34">
        <f>T63+U63</f>
        <v/>
      </c>
      <c r="R63" s="34">
        <f>V63+W63</f>
        <v/>
      </c>
      <c r="S63" s="34">
        <f>X63+Y63</f>
        <v/>
      </c>
      <c r="T63" s="34">
        <f>COUNTIFS(C:C,L63,G:G,"Local")</f>
        <v/>
      </c>
      <c r="U63" s="34">
        <f>COUNTIFS(D:D,L63,G:G,"Visitante")</f>
        <v/>
      </c>
      <c r="V63" s="34">
        <f>COUNTIFS(C:C,L63,G:G,"Empate")</f>
        <v/>
      </c>
      <c r="W63" s="34">
        <f>COUNTIFS(D:D,L63,G:G,"Empate")</f>
        <v/>
      </c>
      <c r="X63" s="34">
        <f>COUNTIFS(C:C,L63,G:G,"Visitante")</f>
        <v/>
      </c>
      <c r="Y63" s="34">
        <f>COUNTIFS(D:D,L63,G:G,"Local")</f>
        <v/>
      </c>
      <c r="Z63" s="34">
        <f>SUMIF(C:C,L63,E:E)</f>
        <v/>
      </c>
      <c r="AA63" s="34">
        <f>SUMIF(D:D,L63,F:F)</f>
        <v/>
      </c>
      <c r="AB63" s="34">
        <f>SUMIF(C:C,L63,F:F)</f>
        <v/>
      </c>
      <c r="AC63" s="9">
        <f>SUMIF(D:D,L63,E:E)</f>
        <v/>
      </c>
    </row>
    <row r="64">
      <c r="A64" s="34" t="n">
        <v>63</v>
      </c>
      <c r="B64" s="34" t="inlineStr">
        <is>
          <t>K</t>
        </is>
      </c>
      <c r="C64" s="34" t="inlineStr">
        <is>
          <t>Portugal</t>
        </is>
      </c>
      <c r="D64" s="34" t="inlineStr">
        <is>
          <t>Uzbekistán</t>
        </is>
      </c>
      <c r="E64" s="3" t="n">
        <v>3</v>
      </c>
      <c r="F64" s="3" t="n">
        <v>0</v>
      </c>
      <c r="G64" s="34">
        <f>IF(E64&gt;F64,"Local",IF(E64=F64,"Empate","Visitante"))</f>
        <v/>
      </c>
      <c r="H64" s="1">
        <f>E64-F64</f>
        <v/>
      </c>
      <c r="J64" s="32" t="n"/>
      <c r="K64" s="8" t="n">
        <v>3</v>
      </c>
      <c r="L64" s="34" t="inlineStr">
        <is>
          <t>RD Congo</t>
        </is>
      </c>
      <c r="M64" s="3">
        <f>(Q64*3)+R64</f>
        <v/>
      </c>
      <c r="N64" s="3">
        <f>O64-P64</f>
        <v/>
      </c>
      <c r="O64" s="3">
        <f>Z64+AA64</f>
        <v/>
      </c>
      <c r="P64" s="3">
        <f>AB64+AC64</f>
        <v/>
      </c>
      <c r="Q64" s="34">
        <f>T64+U64</f>
        <v/>
      </c>
      <c r="R64" s="34">
        <f>V64+W64</f>
        <v/>
      </c>
      <c r="S64" s="34">
        <f>X64+Y64</f>
        <v/>
      </c>
      <c r="T64" s="34">
        <f>COUNTIFS(C:C,L64,G:G,"Local")</f>
        <v/>
      </c>
      <c r="U64" s="34">
        <f>COUNTIFS(D:D,L64,G:G,"Visitante")</f>
        <v/>
      </c>
      <c r="V64" s="34">
        <f>COUNTIFS(C:C,L64,G:G,"Empate")</f>
        <v/>
      </c>
      <c r="W64" s="34">
        <f>COUNTIFS(D:D,L64,G:G,"Empate")</f>
        <v/>
      </c>
      <c r="X64" s="34">
        <f>COUNTIFS(C:C,L64,G:G,"Visitante")</f>
        <v/>
      </c>
      <c r="Y64" s="34">
        <f>COUNTIFS(D:D,L64,G:G,"Local")</f>
        <v/>
      </c>
      <c r="Z64" s="34">
        <f>SUMIF(C:C,L64,E:E)</f>
        <v/>
      </c>
      <c r="AA64" s="34">
        <f>SUMIF(D:D,L64,F:F)</f>
        <v/>
      </c>
      <c r="AB64" s="34">
        <f>SUMIF(C:C,L64,F:F)</f>
        <v/>
      </c>
      <c r="AC64" s="9">
        <f>SUMIF(D:D,L64,E:E)</f>
        <v/>
      </c>
    </row>
    <row r="65">
      <c r="A65" s="34" t="n">
        <v>64</v>
      </c>
      <c r="B65" s="34" t="inlineStr">
        <is>
          <t>K</t>
        </is>
      </c>
      <c r="C65" s="34" t="inlineStr">
        <is>
          <t>Colombia</t>
        </is>
      </c>
      <c r="D65" s="34" t="inlineStr">
        <is>
          <t>RD Congo</t>
        </is>
      </c>
      <c r="E65" s="3" t="n">
        <v>1</v>
      </c>
      <c r="F65" s="3" t="n">
        <v>1</v>
      </c>
      <c r="G65" s="34">
        <f>IF(E65&gt;F65,"Local",IF(E65=F65,"Empate","Visitante"))</f>
        <v/>
      </c>
      <c r="H65" s="1">
        <f>E65-F65</f>
        <v/>
      </c>
      <c r="J65" s="33" t="n"/>
      <c r="K65" s="10" t="n">
        <v>4</v>
      </c>
      <c r="L65" s="4" t="inlineStr">
        <is>
          <t>Uzbekistán</t>
        </is>
      </c>
      <c r="M65" s="11">
        <f>(Q65*3)+R65</f>
        <v/>
      </c>
      <c r="N65" s="11">
        <f>O65-P65</f>
        <v/>
      </c>
      <c r="O65" s="11">
        <f>Z65+AA65</f>
        <v/>
      </c>
      <c r="P65" s="11">
        <f>AB65+AC65</f>
        <v/>
      </c>
      <c r="Q65" s="4">
        <f>T65+U65</f>
        <v/>
      </c>
      <c r="R65" s="4">
        <f>V65+W65</f>
        <v/>
      </c>
      <c r="S65" s="4">
        <f>X65+Y65</f>
        <v/>
      </c>
      <c r="T65" s="4">
        <f>COUNTIFS(C:C,L65,G:G,"Local")</f>
        <v/>
      </c>
      <c r="U65" s="4">
        <f>COUNTIFS(D:D,L65,G:G,"Visitante")</f>
        <v/>
      </c>
      <c r="V65" s="4">
        <f>COUNTIFS(C:C,L65,G:G,"Empate")</f>
        <v/>
      </c>
      <c r="W65" s="4">
        <f>COUNTIFS(D:D,L65,G:G,"Empate")</f>
        <v/>
      </c>
      <c r="X65" s="4">
        <f>COUNTIFS(C:C,L65,G:G,"Visitante")</f>
        <v/>
      </c>
      <c r="Y65" s="4">
        <f>COUNTIFS(D:D,L65,G:G,"Local")</f>
        <v/>
      </c>
      <c r="Z65" s="4">
        <f>SUMIF(C:C,L65,E:E)</f>
        <v/>
      </c>
      <c r="AA65" s="4">
        <f>SUMIF(D:D,L65,F:F)</f>
        <v/>
      </c>
      <c r="AB65" s="4">
        <f>SUMIF(C:C,L65,F:F)</f>
        <v/>
      </c>
      <c r="AC65" s="12">
        <f>SUMIF(D:D,L65,E:E)</f>
        <v/>
      </c>
    </row>
    <row r="66">
      <c r="A66" s="34" t="n">
        <v>65</v>
      </c>
      <c r="B66" s="34" t="inlineStr">
        <is>
          <t>K</t>
        </is>
      </c>
      <c r="C66" s="34" t="inlineStr">
        <is>
          <t>Colombia</t>
        </is>
      </c>
      <c r="D66" s="34" t="inlineStr">
        <is>
          <t>Portugal</t>
        </is>
      </c>
      <c r="E66" s="3" t="n">
        <v>2</v>
      </c>
      <c r="F66" s="3" t="n">
        <v>2</v>
      </c>
      <c r="G66" s="34">
        <f>IF(E66&gt;F66,"Local",IF(E66=F66,"Empate","Visitante"))</f>
        <v/>
      </c>
      <c r="H66" s="1">
        <f>E66-F66</f>
        <v/>
      </c>
    </row>
    <row r="67">
      <c r="A67" s="34" t="n">
        <v>66</v>
      </c>
      <c r="B67" s="34" t="inlineStr">
        <is>
          <t>K</t>
        </is>
      </c>
      <c r="C67" s="34" t="inlineStr">
        <is>
          <t>RD Congo</t>
        </is>
      </c>
      <c r="D67" s="34" t="inlineStr">
        <is>
          <t>Uzbekistán</t>
        </is>
      </c>
      <c r="E67" s="3" t="n">
        <v>3</v>
      </c>
      <c r="F67" s="3" t="n">
        <v>1</v>
      </c>
      <c r="G67" s="34">
        <f>IF(E67&gt;F67,"Local",IF(E67=F67,"Empate","Visitante"))</f>
        <v/>
      </c>
      <c r="H67" s="1">
        <f>E67-F67</f>
        <v/>
      </c>
      <c r="J67" s="6" t="inlineStr">
        <is>
          <t>Grupo</t>
        </is>
      </c>
      <c r="K67" s="7" t="inlineStr">
        <is>
          <t>Posición</t>
        </is>
      </c>
      <c r="L67" s="34" t="inlineStr">
        <is>
          <t>Equipo</t>
        </is>
      </c>
      <c r="M67" s="34" t="inlineStr">
        <is>
          <t>Puntos</t>
        </is>
      </c>
      <c r="N67" s="34" t="inlineStr">
        <is>
          <t>Diferencia</t>
        </is>
      </c>
      <c r="O67" s="34" t="inlineStr">
        <is>
          <t>GF</t>
        </is>
      </c>
      <c r="P67" s="5" t="inlineStr">
        <is>
          <t>GC</t>
        </is>
      </c>
      <c r="Q67" s="5" t="inlineStr">
        <is>
          <t>Victorias</t>
        </is>
      </c>
      <c r="R67" s="5" t="inlineStr">
        <is>
          <t>Empates</t>
        </is>
      </c>
      <c r="S67" s="5" t="inlineStr">
        <is>
          <t>Derrotas</t>
        </is>
      </c>
      <c r="T67" s="5" t="inlineStr">
        <is>
          <t>Victorias_L</t>
        </is>
      </c>
      <c r="U67" s="5" t="inlineStr">
        <is>
          <t>Victorias_V</t>
        </is>
      </c>
      <c r="V67" s="5" t="inlineStr">
        <is>
          <t>Empates_L</t>
        </is>
      </c>
      <c r="W67" s="5" t="inlineStr">
        <is>
          <t>Empates_V</t>
        </is>
      </c>
      <c r="X67" s="5" t="inlineStr">
        <is>
          <t>Derrotas_L</t>
        </is>
      </c>
      <c r="Y67" s="5" t="inlineStr">
        <is>
          <t>Derrotas_V</t>
        </is>
      </c>
      <c r="Z67" s="5" t="inlineStr">
        <is>
          <t>GF_L</t>
        </is>
      </c>
      <c r="AA67" s="5" t="inlineStr">
        <is>
          <t>GF_V</t>
        </is>
      </c>
      <c r="AB67" s="5" t="inlineStr">
        <is>
          <t>GC_L</t>
        </is>
      </c>
      <c r="AC67" s="7" t="inlineStr">
        <is>
          <t>GC_V</t>
        </is>
      </c>
    </row>
    <row r="68">
      <c r="A68" s="34" t="n">
        <v>67</v>
      </c>
      <c r="B68" s="34" t="inlineStr">
        <is>
          <t>L</t>
        </is>
      </c>
      <c r="C68" s="34" t="inlineStr">
        <is>
          <t>Inglaterra</t>
        </is>
      </c>
      <c r="D68" s="34" t="inlineStr">
        <is>
          <t>Croacia</t>
        </is>
      </c>
      <c r="E68" s="3" t="n">
        <v>2</v>
      </c>
      <c r="F68" s="3" t="n">
        <v>2</v>
      </c>
      <c r="G68" s="34">
        <f>IF(E68&gt;F68,"Local",IF(E68=F68,"Empate","Visitante"))</f>
        <v/>
      </c>
      <c r="H68" s="1">
        <f>E68-F68</f>
        <v/>
      </c>
      <c r="J68" s="34" t="inlineStr">
        <is>
          <t>L</t>
        </is>
      </c>
      <c r="K68" s="8" t="n">
        <v>1</v>
      </c>
      <c r="L68" s="34" t="inlineStr">
        <is>
          <t>Inglaterra</t>
        </is>
      </c>
      <c r="M68" s="3">
        <f>(Q68*3)+R68</f>
        <v/>
      </c>
      <c r="N68" s="3">
        <f>O68-P68</f>
        <v/>
      </c>
      <c r="O68" s="3">
        <f>Z68+AA68</f>
        <v/>
      </c>
      <c r="P68" s="3">
        <f>AB68+AC68</f>
        <v/>
      </c>
      <c r="Q68" s="34">
        <f>T68+U68</f>
        <v/>
      </c>
      <c r="R68" s="34">
        <f>V68+W68</f>
        <v/>
      </c>
      <c r="S68" s="34">
        <f>X68+Y68</f>
        <v/>
      </c>
      <c r="T68" s="34">
        <f>COUNTIFS(C:C,L68,G:G,"Local")</f>
        <v/>
      </c>
      <c r="U68" s="34">
        <f>COUNTIFS(D:D,L68,G:G,"Visitante")</f>
        <v/>
      </c>
      <c r="V68" s="34">
        <f>COUNTIFS(C:C,L68,G:G,"Empate")</f>
        <v/>
      </c>
      <c r="W68" s="34">
        <f>COUNTIFS(D:D,L68,G:G,"Empate")</f>
        <v/>
      </c>
      <c r="X68" s="34">
        <f>COUNTIFS(C:C,L68,G:G,"Visitante")</f>
        <v/>
      </c>
      <c r="Y68" s="34">
        <f>COUNTIFS(D:D,L68,G:G,"Local")</f>
        <v/>
      </c>
      <c r="Z68" s="34">
        <f>SUMIF(C:C,L68,E:E)</f>
        <v/>
      </c>
      <c r="AA68" s="34">
        <f>SUMIF(D:D,L68,F:F)</f>
        <v/>
      </c>
      <c r="AB68" s="34">
        <f>SUMIF(C:C,L68,F:F)</f>
        <v/>
      </c>
      <c r="AC68" s="9">
        <f>SUMIF(D:D,L68,E:E)</f>
        <v/>
      </c>
    </row>
    <row r="69">
      <c r="A69" s="34" t="n">
        <v>68</v>
      </c>
      <c r="B69" s="34" t="inlineStr">
        <is>
          <t>L</t>
        </is>
      </c>
      <c r="C69" s="34" t="inlineStr">
        <is>
          <t>Ghana</t>
        </is>
      </c>
      <c r="D69" s="34" t="inlineStr">
        <is>
          <t>Panamá</t>
        </is>
      </c>
      <c r="E69" s="3" t="n">
        <v>3</v>
      </c>
      <c r="F69" s="3" t="n">
        <v>0</v>
      </c>
      <c r="G69" s="34">
        <f>IF(E69&gt;F69,"Local",IF(E69=F69,"Empate","Visitante"))</f>
        <v/>
      </c>
      <c r="H69" s="1">
        <f>E69-F69</f>
        <v/>
      </c>
      <c r="J69" s="32" t="n"/>
      <c r="K69" s="8" t="n">
        <v>2</v>
      </c>
      <c r="L69" s="34" t="inlineStr">
        <is>
          <t>Croacia</t>
        </is>
      </c>
      <c r="M69" s="3">
        <f>(Q69*3)+R69</f>
        <v/>
      </c>
      <c r="N69" s="3">
        <f>O69-P69</f>
        <v/>
      </c>
      <c r="O69" s="3">
        <f>Z69+AA69</f>
        <v/>
      </c>
      <c r="P69" s="3">
        <f>AB69+AC69</f>
        <v/>
      </c>
      <c r="Q69" s="34">
        <f>T69+U69</f>
        <v/>
      </c>
      <c r="R69" s="34">
        <f>V69+W69</f>
        <v/>
      </c>
      <c r="S69" s="34">
        <f>X69+Y69</f>
        <v/>
      </c>
      <c r="T69" s="34">
        <f>COUNTIFS(C:C,L69,G:G,"Local")</f>
        <v/>
      </c>
      <c r="U69" s="34">
        <f>COUNTIFS(D:D,L69,G:G,"Visitante")</f>
        <v/>
      </c>
      <c r="V69" s="34">
        <f>COUNTIFS(C:C,L69,G:G,"Empate")</f>
        <v/>
      </c>
      <c r="W69" s="34">
        <f>COUNTIFS(D:D,L69,G:G,"Empate")</f>
        <v/>
      </c>
      <c r="X69" s="34">
        <f>COUNTIFS(C:C,L69,G:G,"Visitante")</f>
        <v/>
      </c>
      <c r="Y69" s="34">
        <f>COUNTIFS(D:D,L69,G:G,"Local")</f>
        <v/>
      </c>
      <c r="Z69" s="34">
        <f>SUMIF(C:C,L69,E:E)</f>
        <v/>
      </c>
      <c r="AA69" s="34">
        <f>SUMIF(D:D,L69,F:F)</f>
        <v/>
      </c>
      <c r="AB69" s="34">
        <f>SUMIF(C:C,L69,F:F)</f>
        <v/>
      </c>
      <c r="AC69" s="9">
        <f>SUMIF(D:D,L69,E:E)</f>
        <v/>
      </c>
    </row>
    <row r="70">
      <c r="A70" s="34" t="n">
        <v>69</v>
      </c>
      <c r="B70" s="34" t="inlineStr">
        <is>
          <t>L</t>
        </is>
      </c>
      <c r="C70" s="34" t="inlineStr">
        <is>
          <t>Inglaterra</t>
        </is>
      </c>
      <c r="D70" s="34" t="inlineStr">
        <is>
          <t>Ghana</t>
        </is>
      </c>
      <c r="E70" s="3" t="n">
        <v>2</v>
      </c>
      <c r="F70" s="3" t="n">
        <v>0</v>
      </c>
      <c r="G70" s="34">
        <f>IF(E70&gt;F70,"Local",IF(E70=F70,"Empate","Visitante"))</f>
        <v/>
      </c>
      <c r="H70" s="1">
        <f>E70-F70</f>
        <v/>
      </c>
      <c r="J70" s="32" t="n"/>
      <c r="K70" s="8" t="n">
        <v>3</v>
      </c>
      <c r="L70" s="34" t="inlineStr">
        <is>
          <t>Ghana</t>
        </is>
      </c>
      <c r="M70" s="3">
        <f>(Q70*3)+R70</f>
        <v/>
      </c>
      <c r="N70" s="3">
        <f>O70-P70</f>
        <v/>
      </c>
      <c r="O70" s="3">
        <f>Z70+AA70</f>
        <v/>
      </c>
      <c r="P70" s="3">
        <f>AB70+AC70</f>
        <v/>
      </c>
      <c r="Q70" s="34">
        <f>T70+U70</f>
        <v/>
      </c>
      <c r="R70" s="34">
        <f>V70+W70</f>
        <v/>
      </c>
      <c r="S70" s="34">
        <f>X70+Y70</f>
        <v/>
      </c>
      <c r="T70" s="34">
        <f>COUNTIFS(C:C,L70,G:G,"Local")</f>
        <v/>
      </c>
      <c r="U70" s="34">
        <f>COUNTIFS(D:D,L70,G:G,"Visitante")</f>
        <v/>
      </c>
      <c r="V70" s="34">
        <f>COUNTIFS(C:C,L70,G:G,"Empate")</f>
        <v/>
      </c>
      <c r="W70" s="34">
        <f>COUNTIFS(D:D,L70,G:G,"Empate")</f>
        <v/>
      </c>
      <c r="X70" s="34">
        <f>COUNTIFS(C:C,L70,G:G,"Visitante")</f>
        <v/>
      </c>
      <c r="Y70" s="34">
        <f>COUNTIFS(D:D,L70,G:G,"Local")</f>
        <v/>
      </c>
      <c r="Z70" s="34">
        <f>SUMIF(C:C,L70,E:E)</f>
        <v/>
      </c>
      <c r="AA70" s="34">
        <f>SUMIF(D:D,L70,F:F)</f>
        <v/>
      </c>
      <c r="AB70" s="34">
        <f>SUMIF(C:C,L70,F:F)</f>
        <v/>
      </c>
      <c r="AC70" s="9">
        <f>SUMIF(D:D,L70,E:E)</f>
        <v/>
      </c>
    </row>
    <row r="71">
      <c r="A71" s="34" t="n">
        <v>70</v>
      </c>
      <c r="B71" s="34" t="inlineStr">
        <is>
          <t>L</t>
        </is>
      </c>
      <c r="C71" s="34" t="inlineStr">
        <is>
          <t>Panamá</t>
        </is>
      </c>
      <c r="D71" s="34" t="inlineStr">
        <is>
          <t>Croacia</t>
        </is>
      </c>
      <c r="E71" s="3" t="n">
        <v>1</v>
      </c>
      <c r="F71" s="3" t="n">
        <v>4</v>
      </c>
      <c r="G71" s="34">
        <f>IF(E71&gt;F71,"Local",IF(E71=F71,"Empate","Visitante"))</f>
        <v/>
      </c>
      <c r="H71" s="1">
        <f>E71-F71</f>
        <v/>
      </c>
      <c r="J71" s="33" t="n"/>
      <c r="K71" s="10" t="n">
        <v>4</v>
      </c>
      <c r="L71" s="4" t="inlineStr">
        <is>
          <t>Panamá</t>
        </is>
      </c>
      <c r="M71" s="11">
        <f>(Q71*3)+R71</f>
        <v/>
      </c>
      <c r="N71" s="11">
        <f>O71-P71</f>
        <v/>
      </c>
      <c r="O71" s="11">
        <f>Z71+AA71</f>
        <v/>
      </c>
      <c r="P71" s="11">
        <f>AB71+AC71</f>
        <v/>
      </c>
      <c r="Q71" s="4">
        <f>T71+U71</f>
        <v/>
      </c>
      <c r="R71" s="4">
        <f>V71+W71</f>
        <v/>
      </c>
      <c r="S71" s="4">
        <f>X71+Y71</f>
        <v/>
      </c>
      <c r="T71" s="4">
        <f>COUNTIFS(C:C,L71,G:G,"Local")</f>
        <v/>
      </c>
      <c r="U71" s="4">
        <f>COUNTIFS(D:D,L71,G:G,"Visitante")</f>
        <v/>
      </c>
      <c r="V71" s="4">
        <f>COUNTIFS(C:C,L71,G:G,"Empate")</f>
        <v/>
      </c>
      <c r="W71" s="4">
        <f>COUNTIFS(D:D,L71,G:G,"Empate")</f>
        <v/>
      </c>
      <c r="X71" s="4">
        <f>COUNTIFS(C:C,L71,G:G,"Visitante")</f>
        <v/>
      </c>
      <c r="Y71" s="4">
        <f>COUNTIFS(D:D,L71,G:G,"Local")</f>
        <v/>
      </c>
      <c r="Z71" s="4">
        <f>SUMIF(C:C,L71,E:E)</f>
        <v/>
      </c>
      <c r="AA71" s="4">
        <f>SUMIF(D:D,L71,F:F)</f>
        <v/>
      </c>
      <c r="AB71" s="4">
        <f>SUMIF(C:C,L71,F:F)</f>
        <v/>
      </c>
      <c r="AC71" s="12">
        <f>SUMIF(D:D,L71,E:E)</f>
        <v/>
      </c>
    </row>
    <row r="72">
      <c r="A72" s="34" t="n">
        <v>71</v>
      </c>
      <c r="B72" s="34" t="inlineStr">
        <is>
          <t>L</t>
        </is>
      </c>
      <c r="C72" s="34" t="inlineStr">
        <is>
          <t>Panamá</t>
        </is>
      </c>
      <c r="D72" s="34" t="inlineStr">
        <is>
          <t>Inglaterra</t>
        </is>
      </c>
      <c r="E72" s="3" t="n">
        <v>0</v>
      </c>
      <c r="F72" s="3" t="n">
        <v>3</v>
      </c>
      <c r="G72" s="34">
        <f>IF(E72&gt;F72,"Local",IF(E72=F72,"Empate","Visitante"))</f>
        <v/>
      </c>
      <c r="H72" s="1">
        <f>E72-F72</f>
        <v/>
      </c>
    </row>
    <row r="73">
      <c r="A73" s="34" t="n">
        <v>72</v>
      </c>
      <c r="B73" s="34" t="inlineStr">
        <is>
          <t>L</t>
        </is>
      </c>
      <c r="C73" s="34" t="inlineStr">
        <is>
          <t>Croacia</t>
        </is>
      </c>
      <c r="D73" s="34" t="inlineStr">
        <is>
          <t>Ghana</t>
        </is>
      </c>
      <c r="E73" s="3" t="n">
        <v>2</v>
      </c>
      <c r="F73" s="3" t="n">
        <v>1</v>
      </c>
      <c r="G73" s="34">
        <f>IF(E73&gt;F73,"Local",IF(E73=F73,"Empate","Visitante"))</f>
        <v/>
      </c>
      <c r="H73" s="1">
        <f>E73-F73</f>
        <v/>
      </c>
    </row>
    <row r="74">
      <c r="I74" s="31" t="inlineStr">
        <is>
          <t>Clasificación Terceros</t>
        </is>
      </c>
      <c r="J74" s="7" t="inlineStr">
        <is>
          <t>Grupo</t>
        </is>
      </c>
      <c r="K74" s="6" t="inlineStr">
        <is>
          <t>Posición</t>
        </is>
      </c>
      <c r="L74" s="34" t="inlineStr">
        <is>
          <t>Equipo</t>
        </is>
      </c>
      <c r="M74" s="34" t="inlineStr">
        <is>
          <t>Puntos</t>
        </is>
      </c>
      <c r="N74" s="34" t="inlineStr">
        <is>
          <t>Diferencia</t>
        </is>
      </c>
      <c r="O74" s="34" t="inlineStr">
        <is>
          <t>GF</t>
        </is>
      </c>
      <c r="P74" s="5" t="inlineStr">
        <is>
          <t>GC</t>
        </is>
      </c>
      <c r="Q74" s="5" t="inlineStr">
        <is>
          <t>Victorias</t>
        </is>
      </c>
      <c r="R74" s="5" t="inlineStr">
        <is>
          <t>Empates</t>
        </is>
      </c>
      <c r="S74" s="7" t="inlineStr">
        <is>
          <t>Derrotas</t>
        </is>
      </c>
    </row>
    <row r="75">
      <c r="I75" s="32" t="n"/>
      <c r="J75" s="8" t="inlineStr">
        <is>
          <t>K</t>
        </is>
      </c>
      <c r="K75" s="34" t="n">
        <v>1</v>
      </c>
      <c r="L75" s="34" t="inlineStr">
        <is>
          <t>RD Congo</t>
        </is>
      </c>
      <c r="M75" s="3" t="n">
        <v>4</v>
      </c>
      <c r="N75" s="3" t="n">
        <v>1</v>
      </c>
      <c r="O75" s="3" t="n">
        <v>5</v>
      </c>
      <c r="P75" s="3" t="n">
        <v>4</v>
      </c>
      <c r="Q75" s="34" t="n">
        <v>1</v>
      </c>
      <c r="R75" s="34" t="n">
        <v>1</v>
      </c>
      <c r="S75" s="9" t="n">
        <v>1</v>
      </c>
    </row>
    <row r="76">
      <c r="I76" s="32" t="n"/>
      <c r="J76" s="8" t="inlineStr">
        <is>
          <t>A</t>
        </is>
      </c>
      <c r="K76" s="34" t="n">
        <v>2</v>
      </c>
      <c r="L76" s="34" t="inlineStr">
        <is>
          <t>República Checa</t>
        </is>
      </c>
      <c r="M76" s="3" t="n">
        <v>4</v>
      </c>
      <c r="N76" s="3" t="n">
        <v>0</v>
      </c>
      <c r="O76" s="3" t="n">
        <v>4</v>
      </c>
      <c r="P76" s="3" t="n">
        <v>4</v>
      </c>
      <c r="Q76" s="34" t="n">
        <v>1</v>
      </c>
      <c r="R76" s="34" t="n">
        <v>1</v>
      </c>
      <c r="S76" s="9" t="n">
        <v>1</v>
      </c>
    </row>
    <row r="77">
      <c r="I77" s="32" t="n"/>
      <c r="J77" s="8" t="inlineStr">
        <is>
          <t>H</t>
        </is>
      </c>
      <c r="K77" s="34" t="n">
        <v>3</v>
      </c>
      <c r="L77" s="34" t="inlineStr">
        <is>
          <t>Arabia Saudí</t>
        </is>
      </c>
      <c r="M77" s="3" t="n">
        <v>4</v>
      </c>
      <c r="N77" s="3" t="n">
        <v>0</v>
      </c>
      <c r="O77" s="3" t="n">
        <v>4</v>
      </c>
      <c r="P77" s="3" t="n">
        <v>4</v>
      </c>
      <c r="Q77" s="34" t="n">
        <v>1</v>
      </c>
      <c r="R77" s="34" t="n">
        <v>1</v>
      </c>
      <c r="S77" s="9" t="n">
        <v>1</v>
      </c>
    </row>
    <row r="78">
      <c r="I78" s="32" t="n"/>
      <c r="J78" s="8" t="inlineStr">
        <is>
          <t>E</t>
        </is>
      </c>
      <c r="K78" s="34" t="n">
        <v>4</v>
      </c>
      <c r="L78" s="34" t="inlineStr">
        <is>
          <t>Costa de Marfil</t>
        </is>
      </c>
      <c r="M78" s="3" t="n">
        <v>4</v>
      </c>
      <c r="N78" s="3" t="n">
        <v>-1</v>
      </c>
      <c r="O78" s="3" t="n">
        <v>5</v>
      </c>
      <c r="P78" s="3" t="n">
        <v>6</v>
      </c>
      <c r="Q78" s="34" t="n">
        <v>1</v>
      </c>
      <c r="R78" s="34" t="n">
        <v>1</v>
      </c>
      <c r="S78" s="9" t="n">
        <v>1</v>
      </c>
    </row>
    <row r="79">
      <c r="I79" s="32" t="n"/>
      <c r="J79" s="8" t="inlineStr">
        <is>
          <t>I</t>
        </is>
      </c>
      <c r="K79" s="34" t="n">
        <v>5</v>
      </c>
      <c r="L79" s="34" t="inlineStr">
        <is>
          <t>Senegal</t>
        </is>
      </c>
      <c r="M79" s="3" t="n">
        <v>4</v>
      </c>
      <c r="N79" s="3" t="n">
        <v>-1</v>
      </c>
      <c r="O79" s="3" t="n">
        <v>4</v>
      </c>
      <c r="P79" s="3" t="n">
        <v>5</v>
      </c>
      <c r="Q79" s="34" t="n">
        <v>1</v>
      </c>
      <c r="R79" s="34" t="n">
        <v>1</v>
      </c>
      <c r="S79" s="9" t="n">
        <v>1</v>
      </c>
    </row>
    <row r="80">
      <c r="I80" s="32" t="n"/>
      <c r="J80" s="8" t="inlineStr">
        <is>
          <t>L</t>
        </is>
      </c>
      <c r="K80" s="34" t="n">
        <v>6</v>
      </c>
      <c r="L80" s="34" t="inlineStr">
        <is>
          <t>Ghana</t>
        </is>
      </c>
      <c r="M80" s="3" t="n">
        <v>3</v>
      </c>
      <c r="N80" s="3" t="n">
        <v>0</v>
      </c>
      <c r="O80" s="3" t="n">
        <v>4</v>
      </c>
      <c r="P80" s="3" t="n">
        <v>4</v>
      </c>
      <c r="Q80" s="34" t="n">
        <v>1</v>
      </c>
      <c r="R80" s="34" t="n">
        <v>0</v>
      </c>
      <c r="S80" s="9" t="n">
        <v>2</v>
      </c>
    </row>
    <row r="81">
      <c r="I81" s="32" t="n"/>
      <c r="J81" s="8" t="inlineStr">
        <is>
          <t>C</t>
        </is>
      </c>
      <c r="K81" s="34" t="n">
        <v>7</v>
      </c>
      <c r="L81" s="34" t="inlineStr">
        <is>
          <t>Escocia</t>
        </is>
      </c>
      <c r="M81" s="3" t="n">
        <v>3</v>
      </c>
      <c r="N81" s="3" t="n">
        <v>-1</v>
      </c>
      <c r="O81" s="3" t="n">
        <v>6</v>
      </c>
      <c r="P81" s="3" t="n">
        <v>7</v>
      </c>
      <c r="Q81" s="34" t="n">
        <v>1</v>
      </c>
      <c r="R81" s="34" t="n">
        <v>0</v>
      </c>
      <c r="S81" s="9" t="n">
        <v>2</v>
      </c>
    </row>
    <row r="82">
      <c r="I82" s="32" t="n"/>
      <c r="J82" s="8" t="inlineStr">
        <is>
          <t>B</t>
        </is>
      </c>
      <c r="K82" s="34" t="n">
        <v>8</v>
      </c>
      <c r="L82" s="34" t="inlineStr">
        <is>
          <t>Bosnia y Herzegovina</t>
        </is>
      </c>
      <c r="M82" s="3" t="n">
        <v>3</v>
      </c>
      <c r="N82" s="3" t="n">
        <v>-3</v>
      </c>
      <c r="O82" s="3" t="n">
        <v>1</v>
      </c>
      <c r="P82" s="3" t="n">
        <v>4</v>
      </c>
      <c r="Q82" s="34" t="n">
        <v>1</v>
      </c>
      <c r="R82" s="34" t="n">
        <v>0</v>
      </c>
      <c r="S82" s="9" t="n">
        <v>2</v>
      </c>
    </row>
    <row r="83">
      <c r="I83" s="32" t="n"/>
      <c r="J83" s="8" t="inlineStr">
        <is>
          <t>D</t>
        </is>
      </c>
      <c r="K83" s="34" t="n">
        <v>9</v>
      </c>
      <c r="L83" s="34" t="inlineStr">
        <is>
          <t>Australia</t>
        </is>
      </c>
      <c r="M83" s="3" t="n">
        <v>2</v>
      </c>
      <c r="N83" s="3" t="n">
        <v>-2</v>
      </c>
      <c r="O83" s="3" t="n">
        <v>4</v>
      </c>
      <c r="P83" s="3" t="n">
        <v>6</v>
      </c>
      <c r="Q83" s="34" t="n">
        <v>0</v>
      </c>
      <c r="R83" s="34" t="n">
        <v>2</v>
      </c>
      <c r="S83" s="9" t="n">
        <v>1</v>
      </c>
    </row>
    <row r="84">
      <c r="I84" s="32" t="n"/>
      <c r="J84" s="8" t="inlineStr">
        <is>
          <t>F</t>
        </is>
      </c>
      <c r="K84" s="34" t="n">
        <v>10</v>
      </c>
      <c r="L84" s="34" t="inlineStr">
        <is>
          <t>Suecia</t>
        </is>
      </c>
      <c r="M84" s="3" t="n">
        <v>1</v>
      </c>
      <c r="N84" s="3" t="n">
        <v>-2</v>
      </c>
      <c r="O84" s="3" t="n">
        <v>2</v>
      </c>
      <c r="P84" s="3" t="n">
        <v>4</v>
      </c>
      <c r="Q84" s="34" t="n">
        <v>0</v>
      </c>
      <c r="R84" s="34" t="n">
        <v>1</v>
      </c>
      <c r="S84" s="9" t="n">
        <v>2</v>
      </c>
    </row>
    <row r="85">
      <c r="I85" s="32" t="n"/>
      <c r="J85" s="8" t="inlineStr">
        <is>
          <t>J</t>
        </is>
      </c>
      <c r="K85" s="34" t="n">
        <v>11</v>
      </c>
      <c r="L85" s="34" t="inlineStr">
        <is>
          <t>Jordania</t>
        </is>
      </c>
      <c r="M85" s="3" t="n">
        <v>1</v>
      </c>
      <c r="N85" s="3" t="n">
        <v>-2</v>
      </c>
      <c r="O85" s="3" t="n">
        <v>1</v>
      </c>
      <c r="P85" s="3" t="n">
        <v>3</v>
      </c>
      <c r="Q85" s="34" t="n">
        <v>0</v>
      </c>
      <c r="R85" s="34" t="n">
        <v>1</v>
      </c>
      <c r="S85" s="9" t="n">
        <v>2</v>
      </c>
    </row>
    <row r="86">
      <c r="I86" s="33" t="n"/>
      <c r="J86" s="10" t="inlineStr">
        <is>
          <t>G</t>
        </is>
      </c>
      <c r="K86" s="4" t="n">
        <v>12</v>
      </c>
      <c r="L86" s="4" t="inlineStr">
        <is>
          <t>Nueva Zelanda</t>
        </is>
      </c>
      <c r="M86" s="11" t="n">
        <v>1</v>
      </c>
      <c r="N86" s="11" t="n">
        <v>-4</v>
      </c>
      <c r="O86" s="11" t="n">
        <v>1</v>
      </c>
      <c r="P86" s="11" t="n">
        <v>5</v>
      </c>
      <c r="Q86" s="4" t="n">
        <v>0</v>
      </c>
      <c r="R86" s="4" t="n">
        <v>1</v>
      </c>
      <c r="S86" s="12" t="n">
        <v>2</v>
      </c>
    </row>
  </sheetData>
  <mergeCells count="13">
    <mergeCell ref="J32:J35"/>
    <mergeCell ref="J26:J29"/>
    <mergeCell ref="J56:J59"/>
    <mergeCell ref="I74:I86"/>
    <mergeCell ref="J68:J71"/>
    <mergeCell ref="J8:J11"/>
    <mergeCell ref="J2:J5"/>
    <mergeCell ref="J20:J23"/>
    <mergeCell ref="J50:J53"/>
    <mergeCell ref="J38:J41"/>
    <mergeCell ref="J14:J17"/>
    <mergeCell ref="J44:J47"/>
    <mergeCell ref="J62:J65"/>
  </mergeCells>
  <pageMargins left="0.7" right="0.7" top="0.75" bottom="0.75" header="0.3" footer="0.3"/>
  <pageSetup orientation="portrait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topLeftCell="D1" workbookViewId="0">
      <selection activeCell="R2" sqref="R2:R3"/>
    </sheetView>
  </sheetViews>
  <sheetFormatPr baseColWidth="10" defaultRowHeight="15"/>
  <cols>
    <col width="20.1640625" bestFit="1" customWidth="1" min="3" max="3"/>
    <col width="13.6640625" bestFit="1" customWidth="1" min="6" max="6"/>
  </cols>
  <sheetData>
    <row r="1">
      <c r="A1" s="35" t="inlineStr">
        <is>
          <t>Dieciseisavos</t>
        </is>
      </c>
      <c r="B1" s="28" t="n"/>
      <c r="C1" s="29" t="n"/>
      <c r="D1" s="35" t="inlineStr">
        <is>
          <t>Octavos</t>
        </is>
      </c>
      <c r="E1" s="28" t="n"/>
      <c r="F1" s="29" t="n"/>
      <c r="G1" s="35" t="inlineStr">
        <is>
          <t>Cuartos</t>
        </is>
      </c>
      <c r="H1" s="28" t="n"/>
      <c r="I1" s="29" t="n"/>
      <c r="J1" s="35" t="inlineStr">
        <is>
          <t>Semifinal</t>
        </is>
      </c>
      <c r="K1" s="28" t="n"/>
      <c r="L1" s="29" t="n"/>
      <c r="M1" s="35" t="inlineStr">
        <is>
          <t>Tercero puesto</t>
        </is>
      </c>
      <c r="N1" s="28" t="n"/>
      <c r="O1" s="29" t="n"/>
      <c r="P1" s="35" t="inlineStr">
        <is>
          <t>Final</t>
        </is>
      </c>
      <c r="Q1" s="28" t="n"/>
      <c r="R1" s="29" t="n"/>
      <c r="S1" s="35" t="inlineStr">
        <is>
          <t>Tercero</t>
        </is>
      </c>
      <c r="T1" s="35" t="inlineStr">
        <is>
          <t>Campeón</t>
        </is>
      </c>
      <c r="U1" s="1" t="n"/>
    </row>
    <row r="2">
      <c r="A2" s="35" t="n">
        <v>74</v>
      </c>
      <c r="B2" s="35" t="inlineStr">
        <is>
          <t>1E</t>
        </is>
      </c>
      <c r="C2" s="3" t="inlineStr">
        <is>
          <t>Alemania</t>
        </is>
      </c>
      <c r="D2" s="35" t="n">
        <v>89</v>
      </c>
      <c r="E2" s="35" t="inlineStr">
        <is>
          <t>W74</t>
        </is>
      </c>
      <c r="F2" s="3" t="inlineStr">
        <is>
          <t>Alemania</t>
        </is>
      </c>
      <c r="G2" s="35" t="n">
        <v>97</v>
      </c>
      <c r="H2" s="35" t="inlineStr">
        <is>
          <t>W89</t>
        </is>
      </c>
      <c r="I2" s="3" t="inlineStr">
        <is>
          <t>Francia</t>
        </is>
      </c>
      <c r="J2" s="35" t="n">
        <v>101</v>
      </c>
      <c r="K2" s="35" t="inlineStr">
        <is>
          <t>W97</t>
        </is>
      </c>
      <c r="L2" s="3" t="inlineStr">
        <is>
          <t>Francia</t>
        </is>
      </c>
      <c r="M2" s="35" t="n">
        <v>103</v>
      </c>
      <c r="N2" s="35" t="inlineStr">
        <is>
          <t>L101</t>
        </is>
      </c>
      <c r="O2" s="3" t="inlineStr">
        <is>
          <t>Bélgica</t>
        </is>
      </c>
      <c r="P2" s="35" t="n">
        <v>104</v>
      </c>
      <c r="Q2" s="35" t="inlineStr">
        <is>
          <t>W101</t>
        </is>
      </c>
      <c r="R2" s="3" t="inlineStr">
        <is>
          <t>Francia</t>
        </is>
      </c>
      <c r="S2" s="3" t="inlineStr">
        <is>
          <t>Brasil</t>
        </is>
      </c>
      <c r="T2" s="3" t="inlineStr">
        <is>
          <t>Francia</t>
        </is>
      </c>
      <c r="U2" s="1" t="n"/>
    </row>
    <row r="3">
      <c r="A3" s="33" t="n"/>
      <c r="B3" s="35" t="inlineStr">
        <is>
          <t>3ABCDF</t>
        </is>
      </c>
      <c r="C3" s="3" t="inlineStr">
        <is>
          <t>Escocia</t>
        </is>
      </c>
      <c r="D3" s="33" t="n"/>
      <c r="E3" s="35" t="inlineStr">
        <is>
          <t>W77</t>
        </is>
      </c>
      <c r="F3" s="3" t="inlineStr">
        <is>
          <t>Francia</t>
        </is>
      </c>
      <c r="G3" s="33" t="n"/>
      <c r="H3" s="35" t="inlineStr">
        <is>
          <t>W90</t>
        </is>
      </c>
      <c r="I3" s="3" t="inlineStr">
        <is>
          <t>Países Bajos</t>
        </is>
      </c>
      <c r="J3" s="33" t="n"/>
      <c r="K3" s="35" t="inlineStr">
        <is>
          <t>W98</t>
        </is>
      </c>
      <c r="L3" s="3" t="inlineStr">
        <is>
          <t>Bélgica</t>
        </is>
      </c>
      <c r="M3" s="33" t="n"/>
      <c r="N3" s="35" t="inlineStr">
        <is>
          <t>L102</t>
        </is>
      </c>
      <c r="O3" s="3" t="inlineStr">
        <is>
          <t>Brasil</t>
        </is>
      </c>
      <c r="P3" s="33" t="n"/>
      <c r="Q3" s="35" t="inlineStr">
        <is>
          <t>W102</t>
        </is>
      </c>
      <c r="R3" s="3" t="inlineStr">
        <is>
          <t>España</t>
        </is>
      </c>
      <c r="S3" s="1" t="n"/>
      <c r="T3" s="1" t="n"/>
      <c r="U3" s="1" t="n"/>
    </row>
    <row r="4">
      <c r="A4" s="35" t="n">
        <v>77</v>
      </c>
      <c r="B4" s="35" t="inlineStr">
        <is>
          <t>1I</t>
        </is>
      </c>
      <c r="C4" s="3" t="inlineStr">
        <is>
          <t>Francia</t>
        </is>
      </c>
      <c r="D4" s="35" t="n">
        <v>90</v>
      </c>
      <c r="E4" s="35" t="inlineStr">
        <is>
          <t>W73</t>
        </is>
      </c>
      <c r="F4" s="3" t="inlineStr">
        <is>
          <t>Canadá</t>
        </is>
      </c>
      <c r="G4" s="35" t="n">
        <v>98</v>
      </c>
      <c r="H4" s="35" t="inlineStr">
        <is>
          <t>W93</t>
        </is>
      </c>
      <c r="I4" s="3" t="inlineStr">
        <is>
          <t>Colombia</t>
        </is>
      </c>
      <c r="J4" s="35" t="n">
        <v>102</v>
      </c>
      <c r="K4" s="35" t="inlineStr">
        <is>
          <t>W99</t>
        </is>
      </c>
      <c r="L4" s="3" t="inlineStr">
        <is>
          <t>Brasil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3" t="n"/>
      <c r="B5" s="35" t="inlineStr">
        <is>
          <t>3CDFGH</t>
        </is>
      </c>
      <c r="C5" s="3" t="inlineStr">
        <is>
          <t>Arabia Saudi</t>
        </is>
      </c>
      <c r="D5" s="33" t="n"/>
      <c r="E5" s="35" t="inlineStr">
        <is>
          <t>W75</t>
        </is>
      </c>
      <c r="F5" s="3" t="inlineStr">
        <is>
          <t>Países Bajos</t>
        </is>
      </c>
      <c r="G5" s="33" t="n"/>
      <c r="H5" s="35" t="inlineStr">
        <is>
          <t>W94</t>
        </is>
      </c>
      <c r="I5" s="3" t="inlineStr">
        <is>
          <t>Bélgica</t>
        </is>
      </c>
      <c r="J5" s="33" t="n"/>
      <c r="K5" s="35" t="inlineStr">
        <is>
          <t>W100</t>
        </is>
      </c>
      <c r="L5" s="3" t="inlineStr">
        <is>
          <t>España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35" t="n">
        <v>73</v>
      </c>
      <c r="B6" s="35" t="inlineStr">
        <is>
          <t>2A</t>
        </is>
      </c>
      <c r="C6" s="3" t="inlineStr">
        <is>
          <t>Sudáfrica</t>
        </is>
      </c>
      <c r="D6" s="35" t="n">
        <v>93</v>
      </c>
      <c r="E6" s="35" t="inlineStr">
        <is>
          <t>W83</t>
        </is>
      </c>
      <c r="F6" s="3" t="inlineStr">
        <is>
          <t>Colombia</t>
        </is>
      </c>
      <c r="G6" s="35" t="n">
        <v>99</v>
      </c>
      <c r="H6" s="35" t="inlineStr">
        <is>
          <t>W91</t>
        </is>
      </c>
      <c r="I6" s="3" t="inlineStr">
        <is>
          <t>Brasil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33" t="n"/>
      <c r="B7" s="35" t="inlineStr">
        <is>
          <t>2B</t>
        </is>
      </c>
      <c r="C7" s="3" t="inlineStr">
        <is>
          <t>Canadá</t>
        </is>
      </c>
      <c r="D7" s="33" t="n"/>
      <c r="E7" s="35" t="inlineStr">
        <is>
          <t>W84</t>
        </is>
      </c>
      <c r="F7" s="3" t="inlineStr">
        <is>
          <t>Uruguay</t>
        </is>
      </c>
      <c r="G7" s="33" t="n"/>
      <c r="H7" s="35" t="inlineStr">
        <is>
          <t>W92</t>
        </is>
      </c>
      <c r="I7" s="3" t="inlineStr">
        <is>
          <t>Inglaterra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35" t="n">
        <v>75</v>
      </c>
      <c r="B8" s="35" t="inlineStr">
        <is>
          <t>1F</t>
        </is>
      </c>
      <c r="C8" s="3" t="inlineStr">
        <is>
          <t>Países Bajos</t>
        </is>
      </c>
      <c r="D8" s="35" t="n">
        <v>94</v>
      </c>
      <c r="E8" s="35" t="inlineStr">
        <is>
          <t>W81</t>
        </is>
      </c>
      <c r="F8" s="3" t="inlineStr">
        <is>
          <t>Turquía</t>
        </is>
      </c>
      <c r="G8" s="35" t="n">
        <v>100</v>
      </c>
      <c r="H8" s="35" t="inlineStr">
        <is>
          <t>W95</t>
        </is>
      </c>
      <c r="I8" s="3" t="inlineStr">
        <is>
          <t>España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33" t="n"/>
      <c r="B9" s="35" t="inlineStr">
        <is>
          <t>2C</t>
        </is>
      </c>
      <c r="C9" s="3" t="inlineStr">
        <is>
          <t>Marruecos</t>
        </is>
      </c>
      <c r="D9" s="33" t="n"/>
      <c r="E9" s="35" t="inlineStr">
        <is>
          <t>W82</t>
        </is>
      </c>
      <c r="F9" s="3" t="inlineStr">
        <is>
          <t>Bélgica</t>
        </is>
      </c>
      <c r="G9" s="33" t="n"/>
      <c r="H9" s="35" t="inlineStr">
        <is>
          <t>W96</t>
        </is>
      </c>
      <c r="I9" s="3" t="inlineStr">
        <is>
          <t>Portugal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35" t="n">
        <v>83</v>
      </c>
      <c r="B10" s="35" t="inlineStr">
        <is>
          <t>2K</t>
        </is>
      </c>
      <c r="C10" s="3" t="inlineStr">
        <is>
          <t>Colombia</t>
        </is>
      </c>
      <c r="D10" s="35" t="n">
        <v>91</v>
      </c>
      <c r="E10" s="35" t="inlineStr">
        <is>
          <t>W76</t>
        </is>
      </c>
      <c r="F10" s="3" t="inlineStr">
        <is>
          <t>Brasil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33" t="n"/>
      <c r="B11" s="35" t="inlineStr">
        <is>
          <t>2L</t>
        </is>
      </c>
      <c r="C11" s="3" t="inlineStr">
        <is>
          <t>Croacia</t>
        </is>
      </c>
      <c r="D11" s="33" t="n"/>
      <c r="E11" s="35" t="inlineStr">
        <is>
          <t>W78</t>
        </is>
      </c>
      <c r="F11" s="3" t="inlineStr">
        <is>
          <t>Ecuador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35" t="n">
        <v>84</v>
      </c>
      <c r="B12" s="35" t="inlineStr">
        <is>
          <t>1H</t>
        </is>
      </c>
      <c r="C12" s="3" t="inlineStr">
        <is>
          <t>Uruguay</t>
        </is>
      </c>
      <c r="D12" s="35" t="n">
        <v>92</v>
      </c>
      <c r="E12" s="35" t="inlineStr">
        <is>
          <t>W79</t>
        </is>
      </c>
      <c r="F12" s="3" t="inlineStr">
        <is>
          <t>México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33" t="n"/>
      <c r="B13" s="35" t="inlineStr">
        <is>
          <t>2J</t>
        </is>
      </c>
      <c r="C13" s="3" t="inlineStr">
        <is>
          <t>Austria</t>
        </is>
      </c>
      <c r="D13" s="33" t="n"/>
      <c r="E13" s="35" t="inlineStr">
        <is>
          <t>W80</t>
        </is>
      </c>
      <c r="F13" s="3" t="inlineStr">
        <is>
          <t>Inglaterra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35" t="n">
        <v>81</v>
      </c>
      <c r="B14" s="35" t="inlineStr">
        <is>
          <t>1D</t>
        </is>
      </c>
      <c r="C14" s="3" t="inlineStr">
        <is>
          <t>Turquía</t>
        </is>
      </c>
      <c r="D14" s="35" t="n">
        <v>95</v>
      </c>
      <c r="E14" s="35" t="inlineStr">
        <is>
          <t>W86</t>
        </is>
      </c>
      <c r="F14" s="3" t="inlineStr">
        <is>
          <t>España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33" t="n"/>
      <c r="B15" s="35" t="inlineStr">
        <is>
          <t>3BEFIJ</t>
        </is>
      </c>
      <c r="C15" s="3" t="inlineStr">
        <is>
          <t>Bosnia y Herzegovina</t>
        </is>
      </c>
      <c r="D15" s="33" t="n"/>
      <c r="E15" s="35" t="inlineStr">
        <is>
          <t>W88</t>
        </is>
      </c>
      <c r="F15" s="3" t="inlineStr">
        <is>
          <t>Estados Unidos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35" t="n">
        <v>82</v>
      </c>
      <c r="B16" s="35" t="inlineStr">
        <is>
          <t>1G</t>
        </is>
      </c>
      <c r="C16" s="3" t="inlineStr">
        <is>
          <t>Bélgica</t>
        </is>
      </c>
      <c r="D16" s="35" t="n">
        <v>96</v>
      </c>
      <c r="E16" s="35" t="inlineStr">
        <is>
          <t>W85</t>
        </is>
      </c>
      <c r="F16" s="3" t="inlineStr">
        <is>
          <t>Suiza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33" t="n"/>
      <c r="B17" s="35" t="inlineStr">
        <is>
          <t>3AEHIJ</t>
        </is>
      </c>
      <c r="C17" s="3" t="inlineStr">
        <is>
          <t>República Checa</t>
        </is>
      </c>
      <c r="D17" s="33" t="n"/>
      <c r="E17" s="35" t="inlineStr">
        <is>
          <t>W87</t>
        </is>
      </c>
      <c r="F17" s="3" t="inlineStr">
        <is>
          <t>Portugal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35" t="n">
        <v>76</v>
      </c>
      <c r="B18" s="35" t="inlineStr">
        <is>
          <t>1C</t>
        </is>
      </c>
      <c r="C18" s="3" t="inlineStr">
        <is>
          <t>Brasil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33" t="n"/>
      <c r="B19" s="35" t="inlineStr">
        <is>
          <t>2F</t>
        </is>
      </c>
      <c r="C19" s="3" t="inlineStr">
        <is>
          <t>Japón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35" t="n">
        <v>78</v>
      </c>
      <c r="B20" s="35" t="inlineStr">
        <is>
          <t>2E</t>
        </is>
      </c>
      <c r="C20" s="3" t="inlineStr">
        <is>
          <t>Ecuador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33" t="n"/>
      <c r="B21" s="35" t="inlineStr">
        <is>
          <t>2I</t>
        </is>
      </c>
      <c r="C21" s="3" t="inlineStr">
        <is>
          <t>Noruega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35" t="n">
        <v>79</v>
      </c>
      <c r="B22" s="35" t="inlineStr">
        <is>
          <t>1A</t>
        </is>
      </c>
      <c r="C22" s="3" t="inlineStr">
        <is>
          <t>México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33" t="n"/>
      <c r="B23" s="35" t="inlineStr">
        <is>
          <t>3CEFHI</t>
        </is>
      </c>
      <c r="C23" s="3" t="inlineStr">
        <is>
          <t>Costa de Marfil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35" t="n">
        <v>80</v>
      </c>
      <c r="B24" s="35" t="inlineStr">
        <is>
          <t>1L</t>
        </is>
      </c>
      <c r="C24" s="3" t="inlineStr">
        <is>
          <t>Inglaterra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33" t="n"/>
      <c r="B25" s="35" t="inlineStr">
        <is>
          <t>3EHIJK</t>
        </is>
      </c>
      <c r="C25" s="3" t="inlineStr">
        <is>
          <t>RD Congo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35" t="n">
        <v>86</v>
      </c>
      <c r="B26" s="35" t="inlineStr">
        <is>
          <t>1J</t>
        </is>
      </c>
      <c r="C26" s="3" t="inlineStr">
        <is>
          <t>Argentina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33" t="n"/>
      <c r="B27" s="35" t="inlineStr">
        <is>
          <t>2H</t>
        </is>
      </c>
      <c r="C27" s="3" t="inlineStr">
        <is>
          <t>España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35" t="n">
        <v>88</v>
      </c>
      <c r="B28" s="35" t="inlineStr">
        <is>
          <t>2D</t>
        </is>
      </c>
      <c r="C28" s="3" t="inlineStr">
        <is>
          <t>Estados Unidos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33" t="n"/>
      <c r="B29" s="35" t="inlineStr">
        <is>
          <t>2G</t>
        </is>
      </c>
      <c r="C29" s="3" t="inlineStr">
        <is>
          <t>Egipto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35" t="n">
        <v>85</v>
      </c>
      <c r="B30" s="35" t="inlineStr">
        <is>
          <t>1B</t>
        </is>
      </c>
      <c r="C30" s="3" t="inlineStr">
        <is>
          <t>Suiza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33" t="n"/>
      <c r="B31" s="35" t="inlineStr">
        <is>
          <t>3EFGIJ</t>
        </is>
      </c>
      <c r="C31" s="3" t="inlineStr">
        <is>
          <t>Senegal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35" t="n">
        <v>87</v>
      </c>
      <c r="B32" s="35" t="inlineStr">
        <is>
          <t>1K</t>
        </is>
      </c>
      <c r="C32" s="3" t="inlineStr">
        <is>
          <t>Portugal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33" t="n"/>
      <c r="B33" s="35" t="inlineStr">
        <is>
          <t>3DEIJL</t>
        </is>
      </c>
      <c r="C33" s="3" t="inlineStr">
        <is>
          <t>Ghana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</sheetData>
  <mergeCells count="38">
    <mergeCell ref="A24:A25"/>
    <mergeCell ref="G8:G9"/>
    <mergeCell ref="M2:M3"/>
    <mergeCell ref="A16:A17"/>
    <mergeCell ref="A6:A7"/>
    <mergeCell ref="D2:D3"/>
    <mergeCell ref="P2:P3"/>
    <mergeCell ref="A12:A13"/>
    <mergeCell ref="D4:D5"/>
    <mergeCell ref="J4:J5"/>
    <mergeCell ref="A26:A27"/>
    <mergeCell ref="G6:G7"/>
    <mergeCell ref="D16:D17"/>
    <mergeCell ref="A2:A3"/>
    <mergeCell ref="D12:D13"/>
    <mergeCell ref="A18:A19"/>
    <mergeCell ref="G1:I1"/>
    <mergeCell ref="A14:A15"/>
    <mergeCell ref="A32:A33"/>
    <mergeCell ref="A8:A9"/>
    <mergeCell ref="A22:A23"/>
    <mergeCell ref="A4:A5"/>
    <mergeCell ref="G4:G5"/>
    <mergeCell ref="D8:D9"/>
    <mergeCell ref="A20:A21"/>
    <mergeCell ref="A10:A11"/>
    <mergeCell ref="D1:F1"/>
    <mergeCell ref="J2:J3"/>
    <mergeCell ref="D14:D15"/>
    <mergeCell ref="J1:L1"/>
    <mergeCell ref="P1:R1"/>
    <mergeCell ref="D10:D11"/>
    <mergeCell ref="A1:C1"/>
    <mergeCell ref="A28:A29"/>
    <mergeCell ref="M1:O1"/>
    <mergeCell ref="D6:D7"/>
    <mergeCell ref="G2:G3"/>
    <mergeCell ref="A30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5" sqref="A25"/>
    </sheetView>
  </sheetViews>
  <sheetFormatPr baseColWidth="10" defaultRowHeight="15"/>
  <cols>
    <col width="20.1640625" bestFit="1" customWidth="1" min="1" max="1"/>
  </cols>
  <sheetData>
    <row r="1">
      <c r="A1" s="34" t="inlineStr">
        <is>
          <t>Dieciseisavos</t>
        </is>
      </c>
      <c r="B1" s="34" t="inlineStr">
        <is>
          <t>Octavos</t>
        </is>
      </c>
      <c r="C1" s="34" t="inlineStr">
        <is>
          <t>Cuartos</t>
        </is>
      </c>
      <c r="D1" s="34" t="inlineStr">
        <is>
          <t>Semifinal</t>
        </is>
      </c>
      <c r="E1" s="34" t="inlineStr">
        <is>
          <t>Tercero</t>
        </is>
      </c>
      <c r="F1" s="34" t="inlineStr">
        <is>
          <t>Final</t>
        </is>
      </c>
      <c r="G1" s="34" t="inlineStr">
        <is>
          <t>Campeón</t>
        </is>
      </c>
    </row>
    <row r="2">
      <c r="A2" s="3" t="inlineStr">
        <is>
          <t>Alemania</t>
        </is>
      </c>
      <c r="B2" s="3" t="inlineStr">
        <is>
          <t>Alemania</t>
        </is>
      </c>
      <c r="C2" s="3" t="inlineStr">
        <is>
          <t>Francia</t>
        </is>
      </c>
      <c r="D2" s="3" t="inlineStr">
        <is>
          <t>Francia</t>
        </is>
      </c>
      <c r="E2" s="3" t="inlineStr">
        <is>
          <t>Brasil</t>
        </is>
      </c>
      <c r="F2" s="3" t="inlineStr">
        <is>
          <t>Francia</t>
        </is>
      </c>
      <c r="G2" s="3" t="inlineStr">
        <is>
          <t>Francia</t>
        </is>
      </c>
    </row>
    <row r="3">
      <c r="A3" s="3" t="inlineStr">
        <is>
          <t>Escocia</t>
        </is>
      </c>
      <c r="B3" s="3" t="inlineStr">
        <is>
          <t>Francia</t>
        </is>
      </c>
      <c r="C3" s="3" t="inlineStr">
        <is>
          <t>Países Bajos</t>
        </is>
      </c>
      <c r="D3" s="3" t="inlineStr">
        <is>
          <t>Bélgica</t>
        </is>
      </c>
      <c r="E3" s="18" t="n"/>
      <c r="F3" s="3" t="inlineStr">
        <is>
          <t>España</t>
        </is>
      </c>
      <c r="G3" s="18" t="n"/>
    </row>
    <row r="4">
      <c r="A4" s="3" t="inlineStr">
        <is>
          <t>Francia</t>
        </is>
      </c>
      <c r="B4" s="3" t="inlineStr">
        <is>
          <t>Canadá</t>
        </is>
      </c>
      <c r="C4" s="3" t="inlineStr">
        <is>
          <t>Colombia</t>
        </is>
      </c>
      <c r="D4" s="3" t="inlineStr">
        <is>
          <t>Brasil</t>
        </is>
      </c>
      <c r="E4" s="18" t="n"/>
      <c r="F4" s="18" t="n"/>
      <c r="G4" s="18" t="n"/>
    </row>
    <row r="5">
      <c r="A5" s="3" t="inlineStr">
        <is>
          <t>Arabia Saudi</t>
        </is>
      </c>
      <c r="B5" s="3" t="inlineStr">
        <is>
          <t>Países Bajos</t>
        </is>
      </c>
      <c r="C5" s="3" t="inlineStr">
        <is>
          <t>Bélgica</t>
        </is>
      </c>
      <c r="D5" s="3" t="inlineStr">
        <is>
          <t>España</t>
        </is>
      </c>
      <c r="E5" s="18" t="n"/>
      <c r="F5" s="18" t="n"/>
      <c r="G5" s="18" t="n"/>
    </row>
    <row r="6">
      <c r="A6" s="3" t="inlineStr">
        <is>
          <t>Sudáfrica</t>
        </is>
      </c>
      <c r="B6" s="3" t="inlineStr">
        <is>
          <t>Colombia</t>
        </is>
      </c>
      <c r="C6" s="3" t="inlineStr">
        <is>
          <t>Brasil</t>
        </is>
      </c>
      <c r="D6" s="18" t="n"/>
      <c r="E6" s="18" t="n"/>
      <c r="F6" s="18" t="n"/>
      <c r="G6" s="18" t="n"/>
    </row>
    <row r="7">
      <c r="A7" s="3" t="inlineStr">
        <is>
          <t>Canadá</t>
        </is>
      </c>
      <c r="B7" s="3" t="inlineStr">
        <is>
          <t>Uruguay</t>
        </is>
      </c>
      <c r="C7" s="3" t="inlineStr">
        <is>
          <t>Inglaterra</t>
        </is>
      </c>
      <c r="D7" s="18" t="n"/>
      <c r="E7" s="18" t="n"/>
      <c r="F7" s="18" t="n"/>
      <c r="G7" s="18" t="n"/>
    </row>
    <row r="8">
      <c r="A8" s="3" t="inlineStr">
        <is>
          <t>Países Bajos</t>
        </is>
      </c>
      <c r="B8" s="3" t="inlineStr">
        <is>
          <t>Turquía</t>
        </is>
      </c>
      <c r="C8" s="3" t="inlineStr">
        <is>
          <t>España</t>
        </is>
      </c>
      <c r="D8" s="18" t="n"/>
      <c r="E8" s="18" t="n"/>
      <c r="F8" s="18" t="n"/>
      <c r="G8" s="18" t="n"/>
    </row>
    <row r="9">
      <c r="A9" s="3" t="inlineStr">
        <is>
          <t>Marruecos</t>
        </is>
      </c>
      <c r="B9" s="3" t="inlineStr">
        <is>
          <t>Bélgica</t>
        </is>
      </c>
      <c r="C9" s="3" t="inlineStr">
        <is>
          <t>Portugal</t>
        </is>
      </c>
      <c r="D9" s="18" t="n"/>
      <c r="E9" s="18" t="n"/>
      <c r="F9" s="18" t="n"/>
      <c r="G9" s="18" t="n"/>
    </row>
    <row r="10">
      <c r="A10" s="3" t="inlineStr">
        <is>
          <t>Colombia</t>
        </is>
      </c>
      <c r="B10" s="3" t="inlineStr">
        <is>
          <t>Brasil</t>
        </is>
      </c>
      <c r="C10" s="18" t="n"/>
      <c r="D10" s="18" t="n"/>
      <c r="E10" s="18" t="n"/>
      <c r="F10" s="18" t="n"/>
      <c r="G10" s="18" t="n"/>
    </row>
    <row r="11">
      <c r="A11" s="3" t="inlineStr">
        <is>
          <t>Croacia</t>
        </is>
      </c>
      <c r="B11" s="3" t="inlineStr">
        <is>
          <t>Ecuador</t>
        </is>
      </c>
      <c r="C11" s="18" t="n"/>
      <c r="D11" s="18" t="n"/>
      <c r="E11" s="18" t="n"/>
      <c r="F11" s="18" t="n"/>
      <c r="G11" s="18" t="n"/>
    </row>
    <row r="12">
      <c r="A12" s="3" t="inlineStr">
        <is>
          <t>Uruguay</t>
        </is>
      </c>
      <c r="B12" s="3" t="inlineStr">
        <is>
          <t>México</t>
        </is>
      </c>
      <c r="C12" s="18" t="n"/>
      <c r="D12" s="18" t="n"/>
      <c r="E12" s="18" t="n"/>
      <c r="F12" s="18" t="n"/>
      <c r="G12" s="18" t="n"/>
    </row>
    <row r="13">
      <c r="A13" s="3" t="inlineStr">
        <is>
          <t>Austria</t>
        </is>
      </c>
      <c r="B13" s="3" t="inlineStr">
        <is>
          <t>Inglaterra</t>
        </is>
      </c>
      <c r="C13" s="18" t="n"/>
      <c r="D13" s="18" t="n"/>
      <c r="E13" s="18" t="n"/>
      <c r="F13" s="18" t="n"/>
      <c r="G13" s="18" t="n"/>
    </row>
    <row r="14">
      <c r="A14" s="3" t="inlineStr">
        <is>
          <t>Turquía</t>
        </is>
      </c>
      <c r="B14" s="3" t="inlineStr">
        <is>
          <t>España</t>
        </is>
      </c>
      <c r="C14" s="18" t="n"/>
      <c r="D14" s="18" t="n"/>
      <c r="E14" s="18" t="n"/>
      <c r="F14" s="18" t="n"/>
      <c r="G14" s="18" t="n"/>
    </row>
    <row r="15">
      <c r="A15" s="3" t="inlineStr">
        <is>
          <t>Bosnia y Herzegovina</t>
        </is>
      </c>
      <c r="B15" s="3" t="inlineStr">
        <is>
          <t>Estados Unidos</t>
        </is>
      </c>
      <c r="C15" s="18" t="n"/>
      <c r="D15" s="18" t="n"/>
      <c r="E15" s="18" t="n"/>
      <c r="F15" s="18" t="n"/>
      <c r="G15" s="18" t="n"/>
    </row>
    <row r="16">
      <c r="A16" s="3" t="inlineStr">
        <is>
          <t>Bélgica</t>
        </is>
      </c>
      <c r="B16" s="3" t="inlineStr">
        <is>
          <t>Suiza</t>
        </is>
      </c>
      <c r="C16" s="18" t="n"/>
      <c r="D16" s="18" t="n"/>
      <c r="E16" s="18" t="n"/>
      <c r="F16" s="18" t="n"/>
      <c r="G16" s="18" t="n"/>
    </row>
    <row r="17">
      <c r="A17" s="3" t="inlineStr">
        <is>
          <t>República Checa</t>
        </is>
      </c>
      <c r="B17" s="3" t="inlineStr">
        <is>
          <t>Portugal</t>
        </is>
      </c>
      <c r="C17" s="18" t="n"/>
      <c r="D17" s="18" t="n"/>
      <c r="E17" s="18" t="n"/>
      <c r="F17" s="18" t="n"/>
      <c r="G17" s="18" t="n"/>
    </row>
    <row r="18">
      <c r="A18" s="3" t="inlineStr">
        <is>
          <t>Brasil</t>
        </is>
      </c>
      <c r="B18" s="18" t="n"/>
      <c r="C18" s="18" t="n"/>
      <c r="D18" s="18" t="n"/>
      <c r="E18" s="18" t="n"/>
      <c r="F18" s="18" t="n"/>
      <c r="G18" s="18" t="n"/>
    </row>
    <row r="19">
      <c r="A19" s="3" t="inlineStr">
        <is>
          <t>Japón</t>
        </is>
      </c>
      <c r="B19" s="18" t="n"/>
      <c r="C19" s="18" t="n"/>
      <c r="D19" s="18" t="n"/>
      <c r="E19" s="18" t="n"/>
      <c r="F19" s="18" t="n"/>
      <c r="G19" s="18" t="n"/>
    </row>
    <row r="20">
      <c r="A20" s="3" t="inlineStr">
        <is>
          <t>Ecuador</t>
        </is>
      </c>
      <c r="B20" s="18" t="n"/>
      <c r="C20" s="18" t="n"/>
      <c r="D20" s="18" t="n"/>
      <c r="E20" s="18" t="n"/>
      <c r="F20" s="18" t="n"/>
      <c r="G20" s="18" t="n"/>
    </row>
    <row r="21">
      <c r="A21" s="3" t="inlineStr">
        <is>
          <t>Noruega</t>
        </is>
      </c>
      <c r="B21" s="18" t="n"/>
      <c r="C21" s="18" t="n"/>
      <c r="D21" s="18" t="n"/>
      <c r="E21" s="18" t="n"/>
      <c r="F21" s="18" t="n"/>
      <c r="G21" s="18" t="n"/>
    </row>
    <row r="22">
      <c r="A22" s="3" t="inlineStr">
        <is>
          <t>México</t>
        </is>
      </c>
      <c r="B22" s="18" t="n"/>
      <c r="C22" s="18" t="n"/>
      <c r="D22" s="18" t="n"/>
      <c r="E22" s="18" t="n"/>
      <c r="F22" s="18" t="n"/>
      <c r="G22" s="18" t="n"/>
    </row>
    <row r="23">
      <c r="A23" s="3" t="inlineStr">
        <is>
          <t>Costa de Marfil</t>
        </is>
      </c>
      <c r="B23" s="18" t="n"/>
      <c r="C23" s="18" t="n"/>
      <c r="D23" s="18" t="n"/>
      <c r="E23" s="18" t="n"/>
      <c r="F23" s="18" t="n"/>
      <c r="G23" s="18" t="n"/>
    </row>
    <row r="24">
      <c r="A24" s="3" t="inlineStr">
        <is>
          <t>Inglaterra</t>
        </is>
      </c>
      <c r="B24" s="18" t="n"/>
      <c r="C24" s="18" t="n"/>
      <c r="D24" s="18" t="n"/>
      <c r="E24" s="18" t="n"/>
      <c r="F24" s="18" t="n"/>
      <c r="G24" s="18" t="n"/>
    </row>
    <row r="25">
      <c r="A25" s="3" t="inlineStr">
        <is>
          <t>RD Congo</t>
        </is>
      </c>
      <c r="B25" s="18" t="n"/>
      <c r="C25" s="18" t="n"/>
      <c r="D25" s="18" t="n"/>
      <c r="E25" s="18" t="n"/>
      <c r="F25" s="18" t="n"/>
      <c r="G25" s="18" t="n"/>
    </row>
    <row r="26">
      <c r="A26" s="3" t="inlineStr">
        <is>
          <t>Argentina</t>
        </is>
      </c>
      <c r="B26" s="18" t="n"/>
      <c r="C26" s="18" t="n"/>
      <c r="D26" s="18" t="n"/>
      <c r="E26" s="18" t="n"/>
      <c r="F26" s="18" t="n"/>
      <c r="G26" s="18" t="n"/>
    </row>
    <row r="27">
      <c r="A27" s="3" t="inlineStr">
        <is>
          <t>España</t>
        </is>
      </c>
      <c r="B27" s="18" t="n"/>
      <c r="C27" s="18" t="n"/>
      <c r="D27" s="18" t="n"/>
      <c r="E27" s="18" t="n"/>
      <c r="F27" s="18" t="n"/>
      <c r="G27" s="18" t="n"/>
    </row>
    <row r="28">
      <c r="A28" s="3" t="inlineStr">
        <is>
          <t>Estados Unidos</t>
        </is>
      </c>
      <c r="B28" s="18" t="n"/>
      <c r="C28" s="18" t="n"/>
      <c r="D28" s="18" t="n"/>
      <c r="E28" s="18" t="n"/>
      <c r="F28" s="18" t="n"/>
      <c r="G28" s="18" t="n"/>
    </row>
    <row r="29">
      <c r="A29" s="3" t="inlineStr">
        <is>
          <t>Egipto</t>
        </is>
      </c>
      <c r="B29" s="18" t="n"/>
      <c r="C29" s="18" t="n"/>
      <c r="D29" s="18" t="n"/>
      <c r="E29" s="18" t="n"/>
      <c r="F29" s="18" t="n"/>
      <c r="G29" s="18" t="n"/>
    </row>
    <row r="30">
      <c r="A30" s="3" t="inlineStr">
        <is>
          <t>Suiza</t>
        </is>
      </c>
      <c r="B30" s="18" t="n"/>
      <c r="C30" s="18" t="n"/>
      <c r="D30" s="18" t="n"/>
      <c r="E30" s="18" t="n"/>
      <c r="F30" s="18" t="n"/>
      <c r="G30" s="18" t="n"/>
    </row>
    <row r="31">
      <c r="A31" s="3" t="inlineStr">
        <is>
          <t>Senegal</t>
        </is>
      </c>
      <c r="B31" s="18" t="n"/>
      <c r="C31" s="18" t="n"/>
      <c r="D31" s="18" t="n"/>
      <c r="E31" s="18" t="n"/>
      <c r="F31" s="18" t="n"/>
      <c r="G31" s="18" t="n"/>
    </row>
    <row r="32">
      <c r="A32" s="3" t="inlineStr">
        <is>
          <t>Portugal</t>
        </is>
      </c>
      <c r="B32" s="18" t="n"/>
      <c r="C32" s="18" t="n"/>
      <c r="D32" s="18" t="n"/>
      <c r="E32" s="18" t="n"/>
      <c r="F32" s="18" t="n"/>
      <c r="G32" s="18" t="n"/>
    </row>
    <row r="33">
      <c r="A33" s="3" t="inlineStr">
        <is>
          <t>Ghana</t>
        </is>
      </c>
      <c r="B33" s="18" t="n"/>
      <c r="C33" s="18" t="n"/>
      <c r="D33" s="18" t="n"/>
      <c r="E33" s="18" t="n"/>
      <c r="F33" s="18" t="n"/>
      <c r="G33" s="18" t="n"/>
    </row>
  </sheetData>
  <autoFilter ref="A1:G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topLeftCell="A19" zoomScale="140" zoomScaleNormal="140" workbookViewId="0">
      <selection activeCell="D50" sqref="D50"/>
    </sheetView>
  </sheetViews>
  <sheetFormatPr baseColWidth="10" defaultRowHeight="15"/>
  <cols>
    <col width="20.1640625" bestFit="1" customWidth="1" min="2" max="3"/>
  </cols>
  <sheetData>
    <row r="1">
      <c r="A1" s="30" t="inlineStr">
        <is>
          <t>PARTIDOS DE DIECISEISAVOS</t>
        </is>
      </c>
      <c r="B1" s="28" t="n"/>
      <c r="C1" s="28" t="n"/>
      <c r="D1" s="28" t="n"/>
      <c r="E1" s="28" t="n"/>
      <c r="F1" s="28" t="n"/>
      <c r="G1" s="29" t="n"/>
    </row>
    <row r="2">
      <c r="A2" s="23" t="inlineStr">
        <is>
          <t>Partido</t>
        </is>
      </c>
      <c r="B2" s="23" t="inlineStr">
        <is>
          <t>Local</t>
        </is>
      </c>
      <c r="C2" s="23" t="inlineStr">
        <is>
          <t>Visitante</t>
        </is>
      </c>
      <c r="D2" s="23" t="inlineStr">
        <is>
          <t>G_Local</t>
        </is>
      </c>
      <c r="E2" s="23" t="inlineStr">
        <is>
          <t>G_Visitante</t>
        </is>
      </c>
      <c r="F2" s="23" t="inlineStr">
        <is>
          <t>Resultado</t>
        </is>
      </c>
      <c r="G2" s="1" t="inlineStr">
        <is>
          <t>Diferencia</t>
        </is>
      </c>
    </row>
    <row r="3">
      <c r="A3" s="34" t="n">
        <v>1</v>
      </c>
      <c r="B3" s="34" t="inlineStr">
        <is>
          <t>Alemania</t>
        </is>
      </c>
      <c r="C3" s="34" t="inlineStr">
        <is>
          <t>Paraguay</t>
        </is>
      </c>
      <c r="D3" s="3" t="n">
        <v>5</v>
      </c>
      <c r="E3" s="3" t="n">
        <v>0</v>
      </c>
      <c r="F3" s="34">
        <f>IF(D3&gt;E3,"Local",IF(D3=E3,"Empate","Visitante"))</f>
        <v/>
      </c>
      <c r="G3" s="1">
        <f>D3-E3</f>
        <v/>
      </c>
    </row>
    <row r="4">
      <c r="A4" s="34" t="n">
        <v>2</v>
      </c>
      <c r="B4" s="34" t="inlineStr">
        <is>
          <t>Francia</t>
        </is>
      </c>
      <c r="C4" s="34" t="inlineStr">
        <is>
          <t>Suecia</t>
        </is>
      </c>
      <c r="D4" s="3" t="n">
        <v>4</v>
      </c>
      <c r="E4" s="3" t="n">
        <v>1</v>
      </c>
      <c r="F4" s="34">
        <f>IF(D4&gt;E4,"Local",IF(D4=E4,"Empate","Visitante"))</f>
        <v/>
      </c>
      <c r="G4" s="1">
        <f>D4-E4</f>
        <v/>
      </c>
    </row>
    <row r="5">
      <c r="A5" s="34" t="n">
        <v>3</v>
      </c>
      <c r="B5" s="34" t="inlineStr">
        <is>
          <t>Sudáfrica</t>
        </is>
      </c>
      <c r="C5" s="34" t="inlineStr">
        <is>
          <t>Canadá</t>
        </is>
      </c>
      <c r="D5" s="3" t="n">
        <v>1</v>
      </c>
      <c r="E5" s="3" t="n">
        <v>3</v>
      </c>
      <c r="F5" s="34">
        <f>IF(D5&gt;E5,"Local",IF(D5=E5,"Empate","Visitante"))</f>
        <v/>
      </c>
      <c r="G5" s="1">
        <f>D5-E5</f>
        <v/>
      </c>
    </row>
    <row r="6">
      <c r="A6" s="34" t="n">
        <v>4</v>
      </c>
      <c r="B6" s="34" t="inlineStr">
        <is>
          <t>Países Bajos</t>
        </is>
      </c>
      <c r="C6" s="34" t="inlineStr">
        <is>
          <t>Marruecos</t>
        </is>
      </c>
      <c r="D6" s="3" t="n">
        <v>3</v>
      </c>
      <c r="E6" s="3" t="n">
        <v>1</v>
      </c>
      <c r="F6" s="34">
        <f>IF(D6&gt;E6,"Local",IF(D6=E6,"Empate","Visitante"))</f>
        <v/>
      </c>
      <c r="G6" s="1">
        <f>D6-E6</f>
        <v/>
      </c>
    </row>
    <row r="7">
      <c r="A7" s="34" t="n">
        <v>5</v>
      </c>
      <c r="B7" s="34" t="inlineStr">
        <is>
          <t>Portugal</t>
        </is>
      </c>
      <c r="C7" s="34" t="inlineStr">
        <is>
          <t>Croacia</t>
        </is>
      </c>
      <c r="D7" s="3" t="n">
        <v>2</v>
      </c>
      <c r="E7" s="3" t="n">
        <v>1</v>
      </c>
      <c r="F7" s="34">
        <f>IF(D7&gt;E7,"Local",IF(D7=E7,"Empate","Visitante"))</f>
        <v/>
      </c>
      <c r="G7" s="1">
        <f>D7-E7</f>
        <v/>
      </c>
    </row>
    <row r="8">
      <c r="A8" s="34" t="n">
        <v>6</v>
      </c>
      <c r="B8" s="34" t="inlineStr">
        <is>
          <t>España</t>
        </is>
      </c>
      <c r="C8" s="34" t="inlineStr">
        <is>
          <t>Austria</t>
        </is>
      </c>
      <c r="D8" s="3" t="n">
        <v>4</v>
      </c>
      <c r="E8" s="3" t="n">
        <v>1</v>
      </c>
      <c r="F8" s="34">
        <f>IF(D8&gt;E8,"Local",IF(D8=E8,"Empate","Visitante"))</f>
        <v/>
      </c>
      <c r="G8" s="1">
        <f>D8-E8</f>
        <v/>
      </c>
    </row>
    <row r="9">
      <c r="A9" s="34" t="n">
        <v>7</v>
      </c>
      <c r="B9" s="34" t="inlineStr">
        <is>
          <t>Estados Unidos</t>
        </is>
      </c>
      <c r="C9" s="34" t="inlineStr">
        <is>
          <t>Bosnia y Herzegovina</t>
        </is>
      </c>
      <c r="D9" s="3" t="n">
        <v>4</v>
      </c>
      <c r="E9" s="3" t="n">
        <v>2</v>
      </c>
      <c r="F9" s="34">
        <f>IF(D9&gt;E9,"Local",IF(D9=E9,"Empate","Visitante"))</f>
        <v/>
      </c>
      <c r="G9" s="1">
        <f>D9-E9</f>
        <v/>
      </c>
    </row>
    <row r="10">
      <c r="A10" s="34" t="n">
        <v>8</v>
      </c>
      <c r="B10" s="34" t="inlineStr">
        <is>
          <t>Bélgica</t>
        </is>
      </c>
      <c r="C10" s="34" t="inlineStr">
        <is>
          <t>Senegal</t>
        </is>
      </c>
      <c r="D10" s="3" t="n">
        <v>2</v>
      </c>
      <c r="E10" s="3" t="n">
        <v>2</v>
      </c>
      <c r="F10" s="34">
        <f>IF(D10&gt;E10,"Local",IF(D10=E10,"Empate","Visitante"))</f>
        <v/>
      </c>
      <c r="G10" s="1">
        <f>D10-E10</f>
        <v/>
      </c>
    </row>
    <row r="11">
      <c r="A11" s="34" t="n">
        <v>9</v>
      </c>
      <c r="B11" s="34" t="inlineStr">
        <is>
          <t>Brasil</t>
        </is>
      </c>
      <c r="C11" s="34" t="inlineStr">
        <is>
          <t>Japón</t>
        </is>
      </c>
      <c r="D11" s="3" t="n">
        <v>4</v>
      </c>
      <c r="E11" s="3" t="n">
        <v>2</v>
      </c>
      <c r="F11" s="34">
        <f>IF(D11&gt;E11,"Local",IF(D11=E11,"Empate","Visitante"))</f>
        <v/>
      </c>
      <c r="G11" s="1">
        <f>D11-E11</f>
        <v/>
      </c>
    </row>
    <row r="12">
      <c r="A12" s="34" t="n">
        <v>10</v>
      </c>
      <c r="B12" s="34" t="inlineStr">
        <is>
          <t>Costa de Marfil</t>
        </is>
      </c>
      <c r="C12" s="34" t="inlineStr">
        <is>
          <t>Noruega</t>
        </is>
      </c>
      <c r="D12" s="3" t="n">
        <v>1</v>
      </c>
      <c r="E12" s="3" t="n">
        <v>2</v>
      </c>
      <c r="F12" s="34">
        <f>IF(D12&gt;E12,"Local",IF(D12=E12,"Empate","Visitante"))</f>
        <v/>
      </c>
      <c r="G12" s="1">
        <f>D12-E12</f>
        <v/>
      </c>
    </row>
    <row r="13">
      <c r="A13" s="34" t="n">
        <v>11</v>
      </c>
      <c r="B13" s="34" t="inlineStr">
        <is>
          <t>México</t>
        </is>
      </c>
      <c r="C13" s="34" t="inlineStr">
        <is>
          <t>Ecuador</t>
        </is>
      </c>
      <c r="D13" s="3" t="n">
        <v>3</v>
      </c>
      <c r="E13" s="3" t="n">
        <v>0</v>
      </c>
      <c r="F13" s="34">
        <f>IF(D13&gt;E13,"Local",IF(D13=E13,"Empate","Visitante"))</f>
        <v/>
      </c>
      <c r="G13" s="1">
        <f>D13-E13</f>
        <v/>
      </c>
    </row>
    <row r="14">
      <c r="A14" s="34" t="n">
        <v>12</v>
      </c>
      <c r="B14" s="34" t="inlineStr">
        <is>
          <t>Inglaterra</t>
        </is>
      </c>
      <c r="C14" s="34" t="inlineStr">
        <is>
          <t>RD Congo</t>
        </is>
      </c>
      <c r="D14" s="3" t="n">
        <v>2</v>
      </c>
      <c r="E14" s="3" t="n">
        <v>1</v>
      </c>
      <c r="F14" s="34">
        <f>IF(D14&gt;E14,"Local",IF(D14=E14,"Empate","Visitante"))</f>
        <v/>
      </c>
      <c r="G14" s="1">
        <f>D14-E14</f>
        <v/>
      </c>
    </row>
    <row r="15">
      <c r="A15" s="34" t="n">
        <v>13</v>
      </c>
      <c r="B15" s="34" t="inlineStr">
        <is>
          <t>Argentina</t>
        </is>
      </c>
      <c r="C15" s="34" t="inlineStr">
        <is>
          <t>Cabo Verde</t>
        </is>
      </c>
      <c r="D15" s="3" t="n">
        <v>5</v>
      </c>
      <c r="E15" s="3" t="n">
        <v>1</v>
      </c>
      <c r="F15" s="34">
        <f>IF(D15&gt;E15,"Local",IF(D15=E15,"Empate","Visitante"))</f>
        <v/>
      </c>
      <c r="G15" s="1">
        <f>D15-E15</f>
        <v/>
      </c>
    </row>
    <row r="16">
      <c r="A16" s="34" t="n">
        <v>14</v>
      </c>
      <c r="B16" s="34" t="inlineStr">
        <is>
          <t>Australia</t>
        </is>
      </c>
      <c r="C16" s="34" t="inlineStr">
        <is>
          <t>Egipto</t>
        </is>
      </c>
      <c r="D16" s="3" t="n">
        <v>1</v>
      </c>
      <c r="E16" s="3" t="n">
        <v>2</v>
      </c>
      <c r="F16" s="34">
        <f>IF(D16&gt;E16,"Local",IF(D16=E16,"Empate","Visitante"))</f>
        <v/>
      </c>
      <c r="G16" s="1">
        <f>D16-E16</f>
        <v/>
      </c>
    </row>
    <row r="17">
      <c r="A17" s="34" t="n">
        <v>15</v>
      </c>
      <c r="B17" s="34" t="inlineStr">
        <is>
          <t>Suiza</t>
        </is>
      </c>
      <c r="C17" s="34" t="inlineStr">
        <is>
          <t>Argelia</t>
        </is>
      </c>
      <c r="D17" s="3" t="n">
        <v>3</v>
      </c>
      <c r="E17" s="3" t="n">
        <v>0</v>
      </c>
      <c r="F17" s="34">
        <f>IF(D17&gt;E17,"Local",IF(D17=E17,"Empate","Visitante"))</f>
        <v/>
      </c>
      <c r="G17" s="1">
        <f>D17-E17</f>
        <v/>
      </c>
    </row>
    <row r="18">
      <c r="A18" s="34" t="n">
        <v>16</v>
      </c>
      <c r="B18" s="34" t="inlineStr">
        <is>
          <t>Colombia</t>
        </is>
      </c>
      <c r="C18" s="34" t="inlineStr">
        <is>
          <t>Ghana</t>
        </is>
      </c>
      <c r="D18" s="3" t="n">
        <v>2</v>
      </c>
      <c r="E18" s="3" t="n">
        <v>0</v>
      </c>
      <c r="F18" s="34">
        <f>IF(D18&gt;E18,"Local",IF(D18=E18,"Empate","Visitante"))</f>
        <v/>
      </c>
      <c r="G18" s="1">
        <f>D18-E18</f>
        <v/>
      </c>
    </row>
    <row r="20">
      <c r="A20" s="30" t="inlineStr">
        <is>
          <t>PARTIDOS DE OCTAVOS DE FINAL</t>
        </is>
      </c>
      <c r="B20" s="28" t="n"/>
      <c r="C20" s="28" t="n"/>
      <c r="D20" s="28" t="n"/>
      <c r="E20" s="28" t="n"/>
      <c r="F20" s="28" t="n"/>
      <c r="G20" s="29" t="n"/>
    </row>
    <row r="21">
      <c r="A21" s="23" t="inlineStr">
        <is>
          <t>Partido</t>
        </is>
      </c>
      <c r="B21" s="23" t="inlineStr">
        <is>
          <t>Local</t>
        </is>
      </c>
      <c r="C21" s="23" t="inlineStr">
        <is>
          <t>Visitante</t>
        </is>
      </c>
      <c r="D21" s="23" t="inlineStr">
        <is>
          <t>G_Local</t>
        </is>
      </c>
      <c r="E21" s="23" t="inlineStr">
        <is>
          <t>G_Visitante</t>
        </is>
      </c>
      <c r="F21" s="23" t="inlineStr">
        <is>
          <t>Resultado</t>
        </is>
      </c>
      <c r="G21" s="1" t="inlineStr">
        <is>
          <t>Diferencia</t>
        </is>
      </c>
    </row>
    <row r="22">
      <c r="A22" s="34" t="n">
        <v>1</v>
      </c>
      <c r="B22" s="22" t="inlineStr">
        <is>
          <t>Paraguay</t>
        </is>
      </c>
      <c r="C22" s="22" t="inlineStr">
        <is>
          <t>Francia</t>
        </is>
      </c>
      <c r="D22" s="3" t="n">
        <v>0</v>
      </c>
      <c r="E22" s="3" t="n">
        <v>3</v>
      </c>
      <c r="F22" s="34">
        <f>IF(D22&gt;E22,"Local",IF(D22=E22,"Empate","Visitante"))</f>
        <v/>
      </c>
      <c r="G22" s="1">
        <f>D22-E22</f>
        <v/>
      </c>
    </row>
    <row r="23">
      <c r="A23" s="34" t="n">
        <v>2</v>
      </c>
      <c r="B23" s="22" t="inlineStr">
        <is>
          <t>Canadá</t>
        </is>
      </c>
      <c r="C23" s="22" t="inlineStr">
        <is>
          <t>Marruecos</t>
        </is>
      </c>
      <c r="D23" s="3" t="n">
        <v>1</v>
      </c>
      <c r="E23" s="3" t="n">
        <v>1</v>
      </c>
      <c r="F23" s="34">
        <f>IF(D23&gt;E23,"Local",IF(D23=E23,"Empate","Visitante"))</f>
        <v/>
      </c>
      <c r="G23" s="1">
        <f>D23-E23</f>
        <v/>
      </c>
    </row>
    <row r="24">
      <c r="A24" s="34" t="n">
        <v>3</v>
      </c>
      <c r="B24" s="22" t="inlineStr">
        <is>
          <t>Portugal</t>
        </is>
      </c>
      <c r="C24" s="22" t="inlineStr">
        <is>
          <t>España</t>
        </is>
      </c>
      <c r="D24" s="3" t="n">
        <v>1</v>
      </c>
      <c r="E24" s="3" t="n">
        <v>2</v>
      </c>
      <c r="F24" s="34">
        <f>IF(D24&gt;E24,"Local",IF(D24=E24,"Empate","Visitante"))</f>
        <v/>
      </c>
      <c r="G24" s="1">
        <f>D24-E24</f>
        <v/>
      </c>
    </row>
    <row r="25">
      <c r="A25" s="34" t="n">
        <v>4</v>
      </c>
      <c r="B25" s="22" t="inlineStr">
        <is>
          <t>Estados Unidos</t>
        </is>
      </c>
      <c r="C25" s="22" t="inlineStr">
        <is>
          <t>Bélgica</t>
        </is>
      </c>
      <c r="D25" s="3" t="n">
        <v>3</v>
      </c>
      <c r="E25" s="3" t="n">
        <v>1</v>
      </c>
      <c r="F25" s="34">
        <f>IF(D25&gt;E25,"Local",IF(D25=E25,"Empate","Visitante"))</f>
        <v/>
      </c>
      <c r="G25" s="1">
        <f>D25-E25</f>
        <v/>
      </c>
    </row>
    <row r="26">
      <c r="A26" s="34" t="n">
        <v>5</v>
      </c>
      <c r="B26" s="22" t="inlineStr">
        <is>
          <t>Brasil</t>
        </is>
      </c>
      <c r="C26" s="22" t="inlineStr">
        <is>
          <t>Noruega</t>
        </is>
      </c>
      <c r="D26" s="3" t="n">
        <v>3</v>
      </c>
      <c r="E26" s="3" t="n">
        <v>2</v>
      </c>
      <c r="F26" s="34">
        <f>IF(D26&gt;E26,"Local",IF(D26=E26,"Empate","Visitante"))</f>
        <v/>
      </c>
      <c r="G26" s="1">
        <f>D26-E26</f>
        <v/>
      </c>
    </row>
    <row r="27">
      <c r="A27" s="34" t="n">
        <v>6</v>
      </c>
      <c r="B27" s="22" t="inlineStr">
        <is>
          <t>México</t>
        </is>
      </c>
      <c r="C27" s="22" t="inlineStr">
        <is>
          <t>Inglaterra</t>
        </is>
      </c>
      <c r="D27" s="3" t="n">
        <v>1</v>
      </c>
      <c r="E27" s="3" t="n">
        <v>1</v>
      </c>
      <c r="F27" s="34">
        <f>IF(D27&gt;E27,"Local",IF(D27=E27,"Empate","Visitante"))</f>
        <v/>
      </c>
      <c r="G27" s="1">
        <f>D27-E27</f>
        <v/>
      </c>
    </row>
    <row r="28">
      <c r="A28" s="34" t="n">
        <v>7</v>
      </c>
      <c r="B28" s="22" t="inlineStr">
        <is>
          <t>Argentina</t>
        </is>
      </c>
      <c r="C28" s="22" t="inlineStr">
        <is>
          <t>Egipto</t>
        </is>
      </c>
      <c r="D28" s="3" t="n">
        <v>2</v>
      </c>
      <c r="E28" s="3" t="n">
        <v>0</v>
      </c>
      <c r="F28" s="34">
        <f>IF(D28&gt;E28,"Local",IF(D28=E28,"Empate","Visitante"))</f>
        <v/>
      </c>
      <c r="G28" s="1">
        <f>D28-E28</f>
        <v/>
      </c>
    </row>
    <row r="29">
      <c r="A29" s="34" t="n">
        <v>8</v>
      </c>
      <c r="B29" s="22" t="inlineStr">
        <is>
          <t>Suiza</t>
        </is>
      </c>
      <c r="C29" s="22" t="inlineStr">
        <is>
          <t>Colombia</t>
        </is>
      </c>
      <c r="D29" s="3" t="n">
        <v>1</v>
      </c>
      <c r="E29" s="3" t="n">
        <v>2</v>
      </c>
      <c r="F29" s="34">
        <f>IF(D29&gt;E29,"Local",IF(D29=E29,"Empate","Visitante"))</f>
        <v/>
      </c>
      <c r="G29" s="1">
        <f>D29-E29</f>
        <v/>
      </c>
    </row>
    <row r="31">
      <c r="A31" s="30" t="inlineStr">
        <is>
          <t>PARTIDOS DE CUARTOS DE FINAL</t>
        </is>
      </c>
      <c r="B31" s="28" t="n"/>
      <c r="C31" s="28" t="n"/>
      <c r="D31" s="28" t="n"/>
      <c r="E31" s="28" t="n"/>
      <c r="F31" s="28" t="n"/>
      <c r="G31" s="29" t="n"/>
    </row>
    <row r="32">
      <c r="A32" s="23" t="inlineStr">
        <is>
          <t>Partido</t>
        </is>
      </c>
      <c r="B32" s="23" t="inlineStr">
        <is>
          <t>Local</t>
        </is>
      </c>
      <c r="C32" s="23" t="inlineStr">
        <is>
          <t>Visitante</t>
        </is>
      </c>
      <c r="D32" s="23" t="inlineStr">
        <is>
          <t>G_Local</t>
        </is>
      </c>
      <c r="E32" s="23" t="inlineStr">
        <is>
          <t>G_Visitante</t>
        </is>
      </c>
      <c r="F32" s="23" t="inlineStr">
        <is>
          <t>Resultado</t>
        </is>
      </c>
      <c r="G32" s="1" t="inlineStr">
        <is>
          <t>Diferencia</t>
        </is>
      </c>
    </row>
    <row r="33">
      <c r="A33" s="34" t="n">
        <v>1</v>
      </c>
      <c r="B33" s="22" t="inlineStr">
        <is>
          <t>Francia</t>
        </is>
      </c>
      <c r="C33" s="22" t="inlineStr">
        <is>
          <t>Marruecos</t>
        </is>
      </c>
      <c r="D33" s="3" t="n">
        <v>2</v>
      </c>
      <c r="E33" s="3" t="n">
        <v>1</v>
      </c>
      <c r="F33" s="34">
        <f>IF(D33&gt;E33,"Local",IF(D33=E33,"Empate","Visitante"))</f>
        <v/>
      </c>
      <c r="G33" s="1">
        <f>D33-E33</f>
        <v/>
      </c>
    </row>
    <row r="34">
      <c r="A34" s="34" t="n">
        <v>2</v>
      </c>
      <c r="B34" s="22" t="inlineStr">
        <is>
          <t>España</t>
        </is>
      </c>
      <c r="C34" s="22" t="inlineStr">
        <is>
          <t>Bélgica</t>
        </is>
      </c>
      <c r="D34" s="3" t="n">
        <v>1</v>
      </c>
      <c r="E34" s="3" t="n">
        <v>2</v>
      </c>
      <c r="F34" s="34">
        <f>IF(D34&gt;E34,"Local",IF(D34=E34,"Empate","Visitante"))</f>
        <v/>
      </c>
      <c r="G34" s="1">
        <f>D34-E34</f>
        <v/>
      </c>
    </row>
    <row r="35">
      <c r="A35" s="34" t="n">
        <v>3</v>
      </c>
      <c r="B35" s="22" t="inlineStr">
        <is>
          <t>Noruega</t>
        </is>
      </c>
      <c r="C35" s="22" t="inlineStr">
        <is>
          <t>Inglaterra</t>
        </is>
      </c>
      <c r="D35" s="3" t="n">
        <v>3</v>
      </c>
      <c r="E35" s="3" t="n">
        <v>1</v>
      </c>
      <c r="F35" s="34">
        <f>IF(D35&gt;E35,"Local",IF(D35=E35,"Empate","Visitante"))</f>
        <v/>
      </c>
      <c r="G35" s="1">
        <f>D35-E35</f>
        <v/>
      </c>
    </row>
    <row r="36">
      <c r="A36" s="34" t="n">
        <v>4</v>
      </c>
      <c r="B36" s="22" t="inlineStr">
        <is>
          <t>Argentina</t>
        </is>
      </c>
      <c r="C36" s="22" t="inlineStr">
        <is>
          <t>Suiza</t>
        </is>
      </c>
      <c r="D36" s="3" t="n">
        <v>2</v>
      </c>
      <c r="E36" s="3" t="n">
        <v>1</v>
      </c>
      <c r="F36" s="34">
        <f>IF(D36&gt;E36,"Local",IF(D36=E36,"Empate","Visitante"))</f>
        <v/>
      </c>
      <c r="G36" s="1">
        <f>D36-E36</f>
        <v/>
      </c>
    </row>
    <row r="38">
      <c r="A38" s="30" t="inlineStr">
        <is>
          <t>PARTIDOS DE SEMIFINAL</t>
        </is>
      </c>
      <c r="B38" s="28" t="n"/>
      <c r="C38" s="28" t="n"/>
      <c r="D38" s="28" t="n"/>
      <c r="E38" s="28" t="n"/>
      <c r="F38" s="28" t="n"/>
      <c r="G38" s="29" t="n"/>
    </row>
    <row r="39">
      <c r="A39" s="23" t="inlineStr">
        <is>
          <t>Partido</t>
        </is>
      </c>
      <c r="B39" s="23" t="inlineStr">
        <is>
          <t>Local</t>
        </is>
      </c>
      <c r="C39" s="23" t="inlineStr">
        <is>
          <t>Visitante</t>
        </is>
      </c>
      <c r="D39" s="23" t="inlineStr">
        <is>
          <t>G_Local</t>
        </is>
      </c>
      <c r="E39" s="23" t="inlineStr">
        <is>
          <t>G_Visitante</t>
        </is>
      </c>
      <c r="F39" s="23" t="inlineStr">
        <is>
          <t>Resultado</t>
        </is>
      </c>
      <c r="G39" s="1" t="inlineStr">
        <is>
          <t>Diferencia</t>
        </is>
      </c>
    </row>
    <row r="40">
      <c r="A40" s="34" t="n">
        <v>1</v>
      </c>
      <c r="B40" s="34" t="inlineStr">
        <is>
          <t>Francia</t>
        </is>
      </c>
      <c r="C40" s="34" t="inlineStr">
        <is>
          <t>España</t>
        </is>
      </c>
      <c r="D40" s="3" t="n">
        <v>2</v>
      </c>
      <c r="E40" s="3" t="n">
        <v>0</v>
      </c>
      <c r="F40" s="34">
        <f>IF(D40&gt;E40,"Local",IF(D40=E40,"Empate","Visitante"))</f>
        <v/>
      </c>
      <c r="G40" s="1">
        <f>D40-E40</f>
        <v/>
      </c>
    </row>
    <row r="41">
      <c r="A41" s="34" t="n">
        <v>2</v>
      </c>
      <c r="B41" s="34" t="inlineStr">
        <is>
          <t>Inglaterra</t>
        </is>
      </c>
      <c r="C41" s="34" t="inlineStr">
        <is>
          <t>Argentina</t>
        </is>
      </c>
      <c r="D41" s="3" t="n">
        <v>2</v>
      </c>
      <c r="E41" s="3" t="n">
        <v>1</v>
      </c>
      <c r="F41" s="34">
        <f>IF(D41&gt;E41,"Local",IF(D41=E41,"Empate","Visitante"))</f>
        <v/>
      </c>
      <c r="G41" s="1">
        <f>D41-E41</f>
        <v/>
      </c>
    </row>
    <row r="43">
      <c r="A43" s="30" t="inlineStr">
        <is>
          <t>PARTIDOS DE TERCEROS</t>
        </is>
      </c>
      <c r="B43" s="28" t="n"/>
      <c r="C43" s="28" t="n"/>
      <c r="D43" s="28" t="n"/>
      <c r="E43" s="28" t="n"/>
      <c r="F43" s="28" t="n"/>
      <c r="G43" s="29" t="n"/>
    </row>
    <row r="44">
      <c r="A44" s="23" t="inlineStr">
        <is>
          <t>Partido</t>
        </is>
      </c>
      <c r="B44" s="23" t="inlineStr">
        <is>
          <t>Local</t>
        </is>
      </c>
      <c r="C44" s="23" t="inlineStr">
        <is>
          <t>Visitante</t>
        </is>
      </c>
      <c r="D44" s="23" t="inlineStr">
        <is>
          <t>G_Local</t>
        </is>
      </c>
      <c r="E44" s="23" t="inlineStr">
        <is>
          <t>G_Visitante</t>
        </is>
      </c>
      <c r="F44" s="23" t="inlineStr">
        <is>
          <t>Resultado</t>
        </is>
      </c>
      <c r="G44" s="1" t="inlineStr">
        <is>
          <t>Diferencia</t>
        </is>
      </c>
    </row>
    <row r="45">
      <c r="A45" s="34" t="n">
        <v>1</v>
      </c>
      <c r="B45" s="22" t="inlineStr">
        <is>
          <t>Francia</t>
        </is>
      </c>
      <c r="C45" s="22" t="inlineStr">
        <is>
          <t>Inglaterra</t>
        </is>
      </c>
      <c r="D45" s="3" t="n">
        <v>2</v>
      </c>
      <c r="E45" s="3" t="n">
        <v>1</v>
      </c>
      <c r="F45" s="34">
        <f>IF(D45&gt;E45,"Local",IF(D45=E45,"Empate","Visitante"))</f>
        <v/>
      </c>
      <c r="G45" s="1">
        <f>D45-E45</f>
        <v/>
      </c>
    </row>
    <row r="47">
      <c r="A47" s="27" t="inlineStr">
        <is>
          <t>PARTIDOS DE FINAL</t>
        </is>
      </c>
      <c r="B47" s="28" t="n"/>
      <c r="C47" s="28" t="n"/>
      <c r="D47" s="28" t="n"/>
      <c r="E47" s="28" t="n"/>
      <c r="F47" s="28" t="n"/>
      <c r="G47" s="29" t="n"/>
    </row>
    <row r="48">
      <c r="A48" s="23" t="inlineStr">
        <is>
          <t>Partido</t>
        </is>
      </c>
      <c r="B48" s="23" t="inlineStr">
        <is>
          <t>Local</t>
        </is>
      </c>
      <c r="C48" s="23" t="inlineStr">
        <is>
          <t>Visitante</t>
        </is>
      </c>
      <c r="D48" s="23" t="inlineStr">
        <is>
          <t>G_Local</t>
        </is>
      </c>
      <c r="E48" s="23" t="inlineStr">
        <is>
          <t>G_Visitante</t>
        </is>
      </c>
      <c r="F48" s="23" t="inlineStr">
        <is>
          <t>Resultado</t>
        </is>
      </c>
      <c r="G48" s="1" t="inlineStr">
        <is>
          <t>Diferencia</t>
        </is>
      </c>
    </row>
    <row r="49">
      <c r="A49" s="34" t="n">
        <v>1</v>
      </c>
      <c r="B49" s="34" t="inlineStr">
        <is>
          <t>España</t>
        </is>
      </c>
      <c r="C49" s="34" t="inlineStr">
        <is>
          <t>Argentina</t>
        </is>
      </c>
      <c r="D49" s="3" t="n">
        <v>1</v>
      </c>
      <c r="E49" s="3" t="n">
        <v>2</v>
      </c>
      <c r="F49" s="34">
        <f>IF(D49&gt;E49,"Local",IF(D49=E49,"Empate","Visitante"))</f>
        <v/>
      </c>
      <c r="G49" s="1">
        <f>D49-E49</f>
        <v/>
      </c>
    </row>
  </sheetData>
  <mergeCells count="6">
    <mergeCell ref="A1:G1"/>
    <mergeCell ref="A31:G31"/>
    <mergeCell ref="A20:G20"/>
    <mergeCell ref="A38:G38"/>
    <mergeCell ref="A43:G43"/>
    <mergeCell ref="A47:G4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E22" sqref="E22"/>
    </sheetView>
  </sheetViews>
  <sheetFormatPr baseColWidth="10" defaultRowHeight="15"/>
  <cols>
    <col width="20.1640625" bestFit="1" customWidth="1" min="3" max="4"/>
    <col width="20.1640625" bestFit="1" customWidth="1" min="12" max="12"/>
    <col width="11.5" customWidth="1" min="14" max="14"/>
    <col hidden="1" width="13" customWidth="1" min="20" max="29"/>
  </cols>
  <sheetData>
    <row r="1">
      <c r="A1" s="34" t="inlineStr">
        <is>
          <t>Partido</t>
        </is>
      </c>
      <c r="B1" s="34" t="inlineStr">
        <is>
          <t>Grupo</t>
        </is>
      </c>
      <c r="C1" s="34" t="inlineStr">
        <is>
          <t>Local</t>
        </is>
      </c>
      <c r="D1" s="34" t="inlineStr">
        <is>
          <t>Visitante</t>
        </is>
      </c>
      <c r="E1" s="34" t="inlineStr">
        <is>
          <t>G_Local</t>
        </is>
      </c>
      <c r="F1" s="34" t="inlineStr">
        <is>
          <t>G_Visitante</t>
        </is>
      </c>
      <c r="G1" s="34" t="inlineStr">
        <is>
          <t>Resultado</t>
        </is>
      </c>
      <c r="H1" s="1" t="inlineStr">
        <is>
          <t>Diferencia</t>
        </is>
      </c>
      <c r="I1" s="1" t="n"/>
      <c r="J1" s="6" t="inlineStr">
        <is>
          <t>Grupo</t>
        </is>
      </c>
      <c r="K1" s="7" t="inlineStr">
        <is>
          <t>Posición</t>
        </is>
      </c>
      <c r="L1" s="34" t="inlineStr">
        <is>
          <t>Equipo</t>
        </is>
      </c>
      <c r="M1" s="34" t="inlineStr">
        <is>
          <t>Puntos</t>
        </is>
      </c>
      <c r="N1" s="34" t="inlineStr">
        <is>
          <t>Diferencia</t>
        </is>
      </c>
      <c r="O1" s="34" t="inlineStr">
        <is>
          <t>GF</t>
        </is>
      </c>
      <c r="P1" s="5" t="inlineStr">
        <is>
          <t>GC</t>
        </is>
      </c>
      <c r="Q1" s="5" t="inlineStr">
        <is>
          <t>Victorias</t>
        </is>
      </c>
      <c r="R1" s="5" t="inlineStr">
        <is>
          <t>Empates</t>
        </is>
      </c>
      <c r="S1" s="7" t="inlineStr">
        <is>
          <t>Derrotas</t>
        </is>
      </c>
      <c r="T1" s="5" t="inlineStr">
        <is>
          <t>Victorias_L</t>
        </is>
      </c>
      <c r="U1" s="5" t="inlineStr">
        <is>
          <t>Victorias_V</t>
        </is>
      </c>
      <c r="V1" s="5" t="inlineStr">
        <is>
          <t>Empates_L</t>
        </is>
      </c>
      <c r="W1" s="5" t="inlineStr">
        <is>
          <t>Empates_V</t>
        </is>
      </c>
      <c r="X1" s="5" t="inlineStr">
        <is>
          <t>Derrotas_L</t>
        </is>
      </c>
      <c r="Y1" s="5" t="inlineStr">
        <is>
          <t>Derrotas_V</t>
        </is>
      </c>
      <c r="Z1" s="5" t="inlineStr">
        <is>
          <t>GF_L</t>
        </is>
      </c>
      <c r="AA1" s="5" t="inlineStr">
        <is>
          <t>GF_V</t>
        </is>
      </c>
      <c r="AB1" s="5" t="inlineStr">
        <is>
          <t>GC_L</t>
        </is>
      </c>
      <c r="AC1" s="5" t="inlineStr">
        <is>
          <t>GC_V</t>
        </is>
      </c>
    </row>
    <row r="2">
      <c r="A2" s="34" t="n">
        <v>1</v>
      </c>
      <c r="B2" s="34" t="inlineStr">
        <is>
          <t>A</t>
        </is>
      </c>
      <c r="C2" s="34" t="inlineStr">
        <is>
          <t>México</t>
        </is>
      </c>
      <c r="D2" s="34" t="inlineStr">
        <is>
          <t>Sudáfrica</t>
        </is>
      </c>
      <c r="E2" s="3" t="n">
        <v>2</v>
      </c>
      <c r="F2" s="3" t="n">
        <v>1</v>
      </c>
      <c r="G2" s="34">
        <f>IF(E2&gt;F2,"Local",IF(E2=F2,"Empate","Visitante"))</f>
        <v/>
      </c>
      <c r="H2" s="1">
        <f>E2-F2</f>
        <v/>
      </c>
      <c r="I2" s="1" t="n"/>
      <c r="J2" s="34" t="inlineStr">
        <is>
          <t>A</t>
        </is>
      </c>
      <c r="K2" s="8" t="n">
        <v>1</v>
      </c>
      <c r="L2" s="34" t="inlineStr">
        <is>
          <t>México</t>
        </is>
      </c>
      <c r="M2" s="3">
        <f>(Q2*3)+R2</f>
        <v/>
      </c>
      <c r="N2" s="3">
        <f>O2-P2</f>
        <v/>
      </c>
      <c r="O2" s="3">
        <f>Z2+AA2</f>
        <v/>
      </c>
      <c r="P2" s="3">
        <f>AB2+AC2</f>
        <v/>
      </c>
      <c r="Q2" s="34">
        <f>T2+U2</f>
        <v/>
      </c>
      <c r="R2" s="34">
        <f>V2+W2</f>
        <v/>
      </c>
      <c r="S2" s="9">
        <f>X2+Y2</f>
        <v/>
      </c>
      <c r="T2" s="34">
        <f>COUNTIFS(C:C,L2,G:G,"Local")</f>
        <v/>
      </c>
      <c r="U2" s="34">
        <f>COUNTIFS(D:D,L2,G:G,"Visitante")</f>
        <v/>
      </c>
      <c r="V2" s="34">
        <f>COUNTIFS(C:C,L2,G:G,"Empate")</f>
        <v/>
      </c>
      <c r="W2" s="34">
        <f>COUNTIFS(D:D,L2,G:G,"Empate")</f>
        <v/>
      </c>
      <c r="X2" s="34">
        <f>COUNTIFS(C:C,L2,G:G,"Visitante")</f>
        <v/>
      </c>
      <c r="Y2" s="34">
        <f>COUNTIFS(D:D,L2,G:G,"Local")</f>
        <v/>
      </c>
      <c r="Z2" s="34">
        <f>SUMIF(C:C,L2,E:E)</f>
        <v/>
      </c>
      <c r="AA2" s="34">
        <f>SUMIF(D:D,L2,F:F)</f>
        <v/>
      </c>
      <c r="AB2" s="34">
        <f>SUMIF(C:C,L2,F:F)</f>
        <v/>
      </c>
      <c r="AC2" s="34">
        <f>SUMIF(D:D,L2,E:E)</f>
        <v/>
      </c>
    </row>
    <row r="3">
      <c r="A3" s="34" t="n">
        <v>2</v>
      </c>
      <c r="B3" s="34" t="inlineStr">
        <is>
          <t>A</t>
        </is>
      </c>
      <c r="C3" s="34" t="inlineStr">
        <is>
          <t>Corea del Sur</t>
        </is>
      </c>
      <c r="D3" s="34" t="inlineStr">
        <is>
          <t>República Checa</t>
        </is>
      </c>
      <c r="E3" s="3" t="n">
        <v>1</v>
      </c>
      <c r="F3" s="3" t="n">
        <v>1</v>
      </c>
      <c r="G3" s="34">
        <f>IF(E3&gt;F3,"Local",IF(E3=F3,"Empate","Visitante"))</f>
        <v/>
      </c>
      <c r="H3" s="1">
        <f>E3-F3</f>
        <v/>
      </c>
      <c r="I3" s="1" t="n"/>
      <c r="J3" s="32" t="n"/>
      <c r="K3" s="8" t="n">
        <v>2</v>
      </c>
      <c r="L3" s="34" t="inlineStr">
        <is>
          <t>República Checa</t>
        </is>
      </c>
      <c r="M3" s="3">
        <f>(Q3*3)+R3</f>
        <v/>
      </c>
      <c r="N3" s="3">
        <f>O3-P3</f>
        <v/>
      </c>
      <c r="O3" s="3">
        <f>Z3+AA3</f>
        <v/>
      </c>
      <c r="P3" s="3">
        <f>AB3+AC3</f>
        <v/>
      </c>
      <c r="Q3" s="34">
        <f>T3+U3</f>
        <v/>
      </c>
      <c r="R3" s="34">
        <f>V3+W3</f>
        <v/>
      </c>
      <c r="S3" s="9">
        <f>X3+Y3</f>
        <v/>
      </c>
      <c r="T3" s="34">
        <f>COUNTIFS(C:C,L3,G:G,"Local")</f>
        <v/>
      </c>
      <c r="U3" s="34">
        <f>COUNTIFS(D:D,L3,G:G,"Visitante")</f>
        <v/>
      </c>
      <c r="V3" s="34">
        <f>COUNTIFS(C:C,L3,G:G,"Empate")</f>
        <v/>
      </c>
      <c r="W3" s="34">
        <f>COUNTIFS(D:D,L3,G:G,"Empate")</f>
        <v/>
      </c>
      <c r="X3" s="34">
        <f>COUNTIFS(C:C,L3,G:G,"Visitante")</f>
        <v/>
      </c>
      <c r="Y3" s="34">
        <f>COUNTIFS(D:D,L3,G:G,"Local")</f>
        <v/>
      </c>
      <c r="Z3" s="34">
        <f>SUMIF(C:C,L3,E:E)</f>
        <v/>
      </c>
      <c r="AA3" s="34">
        <f>SUMIF(D:D,L3,F:F)</f>
        <v/>
      </c>
      <c r="AB3" s="34">
        <f>SUMIF(C:C,L3,F:F)</f>
        <v/>
      </c>
      <c r="AC3" s="34">
        <f>SUMIF(D:D,L3,E:E)</f>
        <v/>
      </c>
    </row>
    <row r="4">
      <c r="A4" s="34" t="n">
        <v>3</v>
      </c>
      <c r="B4" s="34" t="inlineStr">
        <is>
          <t>A</t>
        </is>
      </c>
      <c r="C4" s="34" t="inlineStr">
        <is>
          <t>República Checa</t>
        </is>
      </c>
      <c r="D4" s="34" t="inlineStr">
        <is>
          <t>Sudáfrica</t>
        </is>
      </c>
      <c r="E4" s="3" t="n">
        <v>2</v>
      </c>
      <c r="F4" s="3" t="n">
        <v>0</v>
      </c>
      <c r="G4" s="34">
        <f>IF(E4&gt;F4,"Local",IF(E4=F4,"Empate","Visitante"))</f>
        <v/>
      </c>
      <c r="H4" s="1">
        <f>E4-F4</f>
        <v/>
      </c>
      <c r="I4" s="1" t="n"/>
      <c r="J4" s="32" t="n"/>
      <c r="K4" s="8" t="n">
        <v>3</v>
      </c>
      <c r="L4" s="34" t="inlineStr">
        <is>
          <t>Corea del Sur</t>
        </is>
      </c>
      <c r="M4" s="3">
        <f>(Q4*3)+R4</f>
        <v/>
      </c>
      <c r="N4" s="3">
        <f>O4-P4</f>
        <v/>
      </c>
      <c r="O4" s="3">
        <f>Z4+AA4</f>
        <v/>
      </c>
      <c r="P4" s="3">
        <f>AB4+AC4</f>
        <v/>
      </c>
      <c r="Q4" s="34">
        <f>T4+U4</f>
        <v/>
      </c>
      <c r="R4" s="34">
        <f>V4+W4</f>
        <v/>
      </c>
      <c r="S4" s="9">
        <f>X4+Y4</f>
        <v/>
      </c>
      <c r="T4" s="34">
        <f>COUNTIFS(C:C,L4,G:G,"Local")</f>
        <v/>
      </c>
      <c r="U4" s="34">
        <f>COUNTIFS(D:D,L4,G:G,"Visitante")</f>
        <v/>
      </c>
      <c r="V4" s="34">
        <f>COUNTIFS(C:C,L4,G:G,"Empate")</f>
        <v/>
      </c>
      <c r="W4" s="34">
        <f>COUNTIFS(D:D,L4,G:G,"Empate")</f>
        <v/>
      </c>
      <c r="X4" s="34">
        <f>COUNTIFS(C:C,L4,G:G,"Visitante")</f>
        <v/>
      </c>
      <c r="Y4" s="34">
        <f>COUNTIFS(D:D,L4,G:G,"Local")</f>
        <v/>
      </c>
      <c r="Z4" s="34">
        <f>SUMIF(C:C,L4,E:E)</f>
        <v/>
      </c>
      <c r="AA4" s="34">
        <f>SUMIF(D:D,L4,F:F)</f>
        <v/>
      </c>
      <c r="AB4" s="34">
        <f>SUMIF(C:C,L4,F:F)</f>
        <v/>
      </c>
      <c r="AC4" s="34">
        <f>SUMIF(D:D,L4,E:E)</f>
        <v/>
      </c>
    </row>
    <row r="5">
      <c r="A5" s="34" t="n">
        <v>4</v>
      </c>
      <c r="B5" s="34" t="inlineStr">
        <is>
          <t>A</t>
        </is>
      </c>
      <c r="C5" s="34" t="inlineStr">
        <is>
          <t>México</t>
        </is>
      </c>
      <c r="D5" s="34" t="inlineStr">
        <is>
          <t>Corea del Sur</t>
        </is>
      </c>
      <c r="E5" s="3" t="n">
        <v>2</v>
      </c>
      <c r="F5" s="3" t="n">
        <v>1</v>
      </c>
      <c r="G5" s="34">
        <f>IF(E5&gt;F5,"Local",IF(E5=F5,"Empate","Visitante"))</f>
        <v/>
      </c>
      <c r="H5" s="1">
        <f>E5-F5</f>
        <v/>
      </c>
      <c r="I5" s="1" t="n"/>
      <c r="J5" s="33" t="n"/>
      <c r="K5" s="10" t="n">
        <v>4</v>
      </c>
      <c r="L5" s="4" t="inlineStr">
        <is>
          <t>Sudáfrica</t>
        </is>
      </c>
      <c r="M5" s="11">
        <f>(Q5*3)+R5</f>
        <v/>
      </c>
      <c r="N5" s="11">
        <f>O5-P5</f>
        <v/>
      </c>
      <c r="O5" s="11">
        <f>Z5+AA5</f>
        <v/>
      </c>
      <c r="P5" s="11">
        <f>AB5+AC5</f>
        <v/>
      </c>
      <c r="Q5" s="4">
        <f>T5+U5</f>
        <v/>
      </c>
      <c r="R5" s="4">
        <f>V5+W5</f>
        <v/>
      </c>
      <c r="S5" s="12">
        <f>X5+Y5</f>
        <v/>
      </c>
      <c r="T5" s="34">
        <f>COUNTIFS(C:C,L5,G:G,"Local")</f>
        <v/>
      </c>
      <c r="U5" s="34">
        <f>COUNTIFS(D:D,L5,G:G,"Visitante")</f>
        <v/>
      </c>
      <c r="V5" s="34">
        <f>COUNTIFS(C:C,L5,G:G,"Empate")</f>
        <v/>
      </c>
      <c r="W5" s="34">
        <f>COUNTIFS(D:D,L5,G:G,"Empate")</f>
        <v/>
      </c>
      <c r="X5" s="34">
        <f>COUNTIFS(C:C,L5,G:G,"Visitante")</f>
        <v/>
      </c>
      <c r="Y5" s="34">
        <f>COUNTIFS(D:D,L5,G:G,"Local")</f>
        <v/>
      </c>
      <c r="Z5" s="34">
        <f>SUMIF(C:C,L5,E:E)</f>
        <v/>
      </c>
      <c r="AA5" s="34">
        <f>SUMIF(D:D,L5,F:F)</f>
        <v/>
      </c>
      <c r="AB5" s="34">
        <f>SUMIF(C:C,L5,F:F)</f>
        <v/>
      </c>
      <c r="AC5" s="34">
        <f>SUMIF(D:D,L5,E:E)</f>
        <v/>
      </c>
    </row>
    <row r="6">
      <c r="A6" s="34" t="n">
        <v>5</v>
      </c>
      <c r="B6" s="34" t="inlineStr">
        <is>
          <t>A</t>
        </is>
      </c>
      <c r="C6" s="34" t="inlineStr">
        <is>
          <t>República Checa</t>
        </is>
      </c>
      <c r="D6" s="34" t="inlineStr">
        <is>
          <t>México</t>
        </is>
      </c>
      <c r="E6" s="3" t="n">
        <v>1</v>
      </c>
      <c r="F6" s="3" t="n">
        <v>1</v>
      </c>
      <c r="G6" s="34">
        <f>IF(E6&gt;F6,"Local",IF(E6=F6,"Empate","Visitante"))</f>
        <v/>
      </c>
      <c r="H6" s="1">
        <f>E6-F6</f>
        <v/>
      </c>
      <c r="I6" s="1" t="n"/>
      <c r="J6" s="1" t="n"/>
    </row>
    <row r="7">
      <c r="A7" s="34" t="n">
        <v>6</v>
      </c>
      <c r="B7" s="34" t="inlineStr">
        <is>
          <t>A</t>
        </is>
      </c>
      <c r="C7" s="34" t="inlineStr">
        <is>
          <t>Sudáfrica</t>
        </is>
      </c>
      <c r="D7" s="34" t="inlineStr">
        <is>
          <t>Corea del Sur</t>
        </is>
      </c>
      <c r="E7" s="3" t="n">
        <v>1</v>
      </c>
      <c r="F7" s="3" t="n">
        <v>2</v>
      </c>
      <c r="G7" s="34">
        <f>IF(E7&gt;F7,"Local",IF(E7=F7,"Empate","Visitante"))</f>
        <v/>
      </c>
      <c r="H7" s="1">
        <f>E7-F7</f>
        <v/>
      </c>
      <c r="I7" s="1" t="n"/>
      <c r="J7" s="6" t="inlineStr">
        <is>
          <t>Grupo</t>
        </is>
      </c>
      <c r="K7" s="7" t="inlineStr">
        <is>
          <t>Posición</t>
        </is>
      </c>
      <c r="L7" s="34" t="inlineStr">
        <is>
          <t>Equipo</t>
        </is>
      </c>
      <c r="M7" s="34" t="inlineStr">
        <is>
          <t>Puntos</t>
        </is>
      </c>
      <c r="N7" s="34" t="inlineStr">
        <is>
          <t>Diferencia</t>
        </is>
      </c>
      <c r="O7" s="34" t="inlineStr">
        <is>
          <t>GF</t>
        </is>
      </c>
      <c r="P7" s="5" t="inlineStr">
        <is>
          <t>GC</t>
        </is>
      </c>
      <c r="Q7" s="5" t="inlineStr">
        <is>
          <t>Victorias</t>
        </is>
      </c>
      <c r="R7" s="5" t="inlineStr">
        <is>
          <t>Empates</t>
        </is>
      </c>
      <c r="S7" s="7" t="inlineStr">
        <is>
          <t>Derrotas</t>
        </is>
      </c>
      <c r="T7" s="5" t="inlineStr">
        <is>
          <t>Victorias_L</t>
        </is>
      </c>
      <c r="U7" s="5" t="inlineStr">
        <is>
          <t>Victorias_V</t>
        </is>
      </c>
      <c r="V7" s="5" t="inlineStr">
        <is>
          <t>Empates_L</t>
        </is>
      </c>
      <c r="W7" s="5" t="inlineStr">
        <is>
          <t>Empates_V</t>
        </is>
      </c>
      <c r="X7" s="5" t="inlineStr">
        <is>
          <t>Derrotas_L</t>
        </is>
      </c>
      <c r="Y7" s="5" t="inlineStr">
        <is>
          <t>Derrotas_V</t>
        </is>
      </c>
      <c r="Z7" s="5" t="inlineStr">
        <is>
          <t>GF_L</t>
        </is>
      </c>
      <c r="AA7" s="5" t="inlineStr">
        <is>
          <t>GF_V</t>
        </is>
      </c>
      <c r="AB7" s="5" t="inlineStr">
        <is>
          <t>GC_L</t>
        </is>
      </c>
      <c r="AC7" s="5" t="inlineStr">
        <is>
          <t>GC_V</t>
        </is>
      </c>
    </row>
    <row r="8">
      <c r="A8" s="34" t="n">
        <v>7</v>
      </c>
      <c r="B8" s="34" t="inlineStr">
        <is>
          <t>B</t>
        </is>
      </c>
      <c r="C8" s="34" t="inlineStr">
        <is>
          <t>Canadá</t>
        </is>
      </c>
      <c r="D8" s="34" t="inlineStr">
        <is>
          <t>Bosnia y Herzegovina</t>
        </is>
      </c>
      <c r="E8" s="3" t="n">
        <v>2</v>
      </c>
      <c r="F8" s="3" t="n">
        <v>1</v>
      </c>
      <c r="G8" s="34">
        <f>IF(E8&gt;F8,"Local",IF(E8=F8,"Empate","Visitante"))</f>
        <v/>
      </c>
      <c r="H8" s="1">
        <f>E8-F8</f>
        <v/>
      </c>
      <c r="I8" s="1" t="n"/>
      <c r="J8" s="34" t="inlineStr">
        <is>
          <t>B</t>
        </is>
      </c>
      <c r="K8" s="8" t="n">
        <v>1</v>
      </c>
      <c r="L8" s="34" t="inlineStr">
        <is>
          <t>Suiza</t>
        </is>
      </c>
      <c r="M8" s="3">
        <f>(Q8*3)+R8</f>
        <v/>
      </c>
      <c r="N8" s="3">
        <f>O8-P8</f>
        <v/>
      </c>
      <c r="O8" s="3">
        <f>Z8+AA8</f>
        <v/>
      </c>
      <c r="P8" s="3">
        <f>AB8+AC8</f>
        <v/>
      </c>
      <c r="Q8" s="34">
        <f>T8+U8</f>
        <v/>
      </c>
      <c r="R8" s="34">
        <f>V8+W8</f>
        <v/>
      </c>
      <c r="S8" s="9">
        <f>X8+Y8</f>
        <v/>
      </c>
      <c r="T8" s="34">
        <f>COUNTIFS(C:C,L8,G:G,"Local")</f>
        <v/>
      </c>
      <c r="U8" s="34">
        <f>COUNTIFS(D:D,L8,G:G,"Visitante")</f>
        <v/>
      </c>
      <c r="V8" s="34">
        <f>COUNTIFS(C:C,L8,G:G,"Empate")</f>
        <v/>
      </c>
      <c r="W8" s="34">
        <f>COUNTIFS(D:D,L8,G:G,"Empate")</f>
        <v/>
      </c>
      <c r="X8" s="34">
        <f>COUNTIFS(C:C,L8,G:G,"Visitante")</f>
        <v/>
      </c>
      <c r="Y8" s="34">
        <f>COUNTIFS(D:D,L8,G:G,"Local")</f>
        <v/>
      </c>
      <c r="Z8" s="34">
        <f>SUMIF(C:C,L8,E:E)</f>
        <v/>
      </c>
      <c r="AA8" s="34">
        <f>SUMIF(D:D,L8,F:F)</f>
        <v/>
      </c>
      <c r="AB8" s="34">
        <f>SUMIF(C:C,L8,F:F)</f>
        <v/>
      </c>
      <c r="AC8" s="34">
        <f>SUMIF(D:D,L8,E:E)</f>
        <v/>
      </c>
    </row>
    <row r="9">
      <c r="A9" s="34" t="n">
        <v>8</v>
      </c>
      <c r="B9" s="34" t="inlineStr">
        <is>
          <t>B</t>
        </is>
      </c>
      <c r="C9" s="34" t="inlineStr">
        <is>
          <t>Catar</t>
        </is>
      </c>
      <c r="D9" s="34" t="inlineStr">
        <is>
          <t>Suiza</t>
        </is>
      </c>
      <c r="E9" s="3" t="n">
        <v>0</v>
      </c>
      <c r="F9" s="3" t="n">
        <v>2</v>
      </c>
      <c r="G9" s="34">
        <f>IF(E9&gt;F9,"Local",IF(E9=F9,"Empate","Visitante"))</f>
        <v/>
      </c>
      <c r="H9" s="1">
        <f>E9-F9</f>
        <v/>
      </c>
      <c r="I9" s="1" t="n"/>
      <c r="J9" s="32" t="n"/>
      <c r="K9" s="8" t="n">
        <v>2</v>
      </c>
      <c r="L9" s="34" t="inlineStr">
        <is>
          <t>Canadá</t>
        </is>
      </c>
      <c r="M9" s="3">
        <f>(Q9*3)+R9</f>
        <v/>
      </c>
      <c r="N9" s="3">
        <f>O9-P9</f>
        <v/>
      </c>
      <c r="O9" s="3">
        <f>Z9+AA9</f>
        <v/>
      </c>
      <c r="P9" s="3">
        <f>AB9+AC9</f>
        <v/>
      </c>
      <c r="Q9" s="34">
        <f>T9+U9</f>
        <v/>
      </c>
      <c r="R9" s="34">
        <f>V9+W9</f>
        <v/>
      </c>
      <c r="S9" s="9">
        <f>X9+Y9</f>
        <v/>
      </c>
      <c r="T9" s="34">
        <f>COUNTIFS(C:C,L9,G:G,"Local")</f>
        <v/>
      </c>
      <c r="U9" s="34">
        <f>COUNTIFS(D:D,L9,G:G,"Visitante")</f>
        <v/>
      </c>
      <c r="V9" s="34">
        <f>COUNTIFS(C:C,L9,G:G,"Empate")</f>
        <v/>
      </c>
      <c r="W9" s="34">
        <f>COUNTIFS(D:D,L9,G:G,"Empate")</f>
        <v/>
      </c>
      <c r="X9" s="34">
        <f>COUNTIFS(C:C,L9,G:G,"Visitante")</f>
        <v/>
      </c>
      <c r="Y9" s="34">
        <f>COUNTIFS(D:D,L9,G:G,"Local")</f>
        <v/>
      </c>
      <c r="Z9" s="34">
        <f>SUMIF(C:C,L9,E:E)</f>
        <v/>
      </c>
      <c r="AA9" s="34">
        <f>SUMIF(D:D,L9,F:F)</f>
        <v/>
      </c>
      <c r="AB9" s="34">
        <f>SUMIF(C:C,L9,F:F)</f>
        <v/>
      </c>
      <c r="AC9" s="34">
        <f>SUMIF(D:D,L9,E:E)</f>
        <v/>
      </c>
    </row>
    <row r="10">
      <c r="A10" s="34" t="n">
        <v>9</v>
      </c>
      <c r="B10" s="34" t="inlineStr">
        <is>
          <t>B</t>
        </is>
      </c>
      <c r="C10" s="34" t="inlineStr">
        <is>
          <t>Suiza</t>
        </is>
      </c>
      <c r="D10" s="34" t="inlineStr">
        <is>
          <t>Bosnia y Herzegovina</t>
        </is>
      </c>
      <c r="E10" s="3" t="n">
        <v>2</v>
      </c>
      <c r="F10" s="3" t="n">
        <v>0</v>
      </c>
      <c r="G10" s="34">
        <f>IF(E10&gt;F10,"Local",IF(E10=F10,"Empate","Visitante"))</f>
        <v/>
      </c>
      <c r="H10" s="1">
        <f>E10-F10</f>
        <v/>
      </c>
      <c r="I10" s="1" t="n"/>
      <c r="J10" s="32" t="n"/>
      <c r="K10" s="8" t="n">
        <v>3</v>
      </c>
      <c r="L10" s="34" t="inlineStr">
        <is>
          <t>Bosnia y Herzegovina</t>
        </is>
      </c>
      <c r="M10" s="3">
        <f>(Q10*3)+R10</f>
        <v/>
      </c>
      <c r="N10" s="3">
        <f>O10-P10</f>
        <v/>
      </c>
      <c r="O10" s="3">
        <f>Z10+AA10</f>
        <v/>
      </c>
      <c r="P10" s="3">
        <f>AB10+AC10</f>
        <v/>
      </c>
      <c r="Q10" s="34">
        <f>T10+U10</f>
        <v/>
      </c>
      <c r="R10" s="34">
        <f>V10+W10</f>
        <v/>
      </c>
      <c r="S10" s="9">
        <f>X10+Y10</f>
        <v/>
      </c>
      <c r="T10" s="34">
        <f>COUNTIFS(C:C,L10,G:G,"Local")</f>
        <v/>
      </c>
      <c r="U10" s="34">
        <f>COUNTIFS(D:D,L10,G:G,"Visitante")</f>
        <v/>
      </c>
      <c r="V10" s="34">
        <f>COUNTIFS(C:C,L10,G:G,"Empate")</f>
        <v/>
      </c>
      <c r="W10" s="34">
        <f>COUNTIFS(D:D,L10,G:G,"Empate")</f>
        <v/>
      </c>
      <c r="X10" s="34">
        <f>COUNTIFS(C:C,L10,G:G,"Visitante")</f>
        <v/>
      </c>
      <c r="Y10" s="34">
        <f>COUNTIFS(D:D,L10,G:G,"Local")</f>
        <v/>
      </c>
      <c r="Z10" s="34">
        <f>SUMIF(C:C,L10,E:E)</f>
        <v/>
      </c>
      <c r="AA10" s="34">
        <f>SUMIF(D:D,L10,F:F)</f>
        <v/>
      </c>
      <c r="AB10" s="34">
        <f>SUMIF(C:C,L10,F:F)</f>
        <v/>
      </c>
      <c r="AC10" s="34">
        <f>SUMIF(D:D,L10,E:E)</f>
        <v/>
      </c>
    </row>
    <row r="11">
      <c r="A11" s="34" t="n">
        <v>10</v>
      </c>
      <c r="B11" s="34" t="inlineStr">
        <is>
          <t>B</t>
        </is>
      </c>
      <c r="C11" s="34" t="inlineStr">
        <is>
          <t>Canadá</t>
        </is>
      </c>
      <c r="D11" s="34" t="inlineStr">
        <is>
          <t>Catar</t>
        </is>
      </c>
      <c r="E11" s="3" t="n">
        <v>2</v>
      </c>
      <c r="F11" s="3" t="n">
        <v>0</v>
      </c>
      <c r="G11" s="34">
        <f>IF(E11&gt;F11,"Local",IF(E11=F11,"Empate","Visitante"))</f>
        <v/>
      </c>
      <c r="H11" s="1">
        <f>E11-F11</f>
        <v/>
      </c>
      <c r="J11" s="33" t="n"/>
      <c r="K11" s="10" t="n">
        <v>4</v>
      </c>
      <c r="L11" s="4" t="inlineStr">
        <is>
          <t>Catar</t>
        </is>
      </c>
      <c r="M11" s="11">
        <f>(Q11*3)+R11</f>
        <v/>
      </c>
      <c r="N11" s="11">
        <f>O11-P11</f>
        <v/>
      </c>
      <c r="O11" s="11">
        <f>Z11+AA11</f>
        <v/>
      </c>
      <c r="P11" s="11">
        <f>AB11+AC11</f>
        <v/>
      </c>
      <c r="Q11" s="4">
        <f>T11+U11</f>
        <v/>
      </c>
      <c r="R11" s="4">
        <f>V11+W11</f>
        <v/>
      </c>
      <c r="S11" s="12">
        <f>X11+Y11</f>
        <v/>
      </c>
      <c r="T11" s="34">
        <f>COUNTIFS(C:C,L11,G:G,"Local")</f>
        <v/>
      </c>
      <c r="U11" s="34">
        <f>COUNTIFS(D:D,L11,G:G,"Visitante")</f>
        <v/>
      </c>
      <c r="V11" s="34">
        <f>COUNTIFS(C:C,L11,G:G,"Empate")</f>
        <v/>
      </c>
      <c r="W11" s="34">
        <f>COUNTIFS(D:D,L11,G:G,"Empate")</f>
        <v/>
      </c>
      <c r="X11" s="34">
        <f>COUNTIFS(C:C,L11,G:G,"Visitante")</f>
        <v/>
      </c>
      <c r="Y11" s="34">
        <f>COUNTIFS(D:D,L11,G:G,"Local")</f>
        <v/>
      </c>
      <c r="Z11" s="34">
        <f>SUMIF(C:C,L11,E:E)</f>
        <v/>
      </c>
      <c r="AA11" s="34">
        <f>SUMIF(D:D,L11,F:F)</f>
        <v/>
      </c>
      <c r="AB11" s="34">
        <f>SUMIF(C:C,L11,F:F)</f>
        <v/>
      </c>
      <c r="AC11" s="34">
        <f>SUMIF(D:D,L11,E:E)</f>
        <v/>
      </c>
    </row>
    <row r="12">
      <c r="A12" s="34" t="n">
        <v>11</v>
      </c>
      <c r="B12" s="34" t="inlineStr">
        <is>
          <t>B</t>
        </is>
      </c>
      <c r="C12" s="34" t="inlineStr">
        <is>
          <t>Suiza</t>
        </is>
      </c>
      <c r="D12" s="34" t="inlineStr">
        <is>
          <t>Canadá</t>
        </is>
      </c>
      <c r="E12" s="3" t="n">
        <v>1</v>
      </c>
      <c r="F12" s="3" t="n">
        <v>1</v>
      </c>
      <c r="G12" s="34">
        <f>IF(E12&gt;F12,"Local",IF(E12=F12,"Empate","Visitante"))</f>
        <v/>
      </c>
      <c r="H12" s="1">
        <f>E12-F12</f>
        <v/>
      </c>
    </row>
    <row r="13">
      <c r="A13" s="34" t="n">
        <v>12</v>
      </c>
      <c r="B13" s="34" t="inlineStr">
        <is>
          <t>B</t>
        </is>
      </c>
      <c r="C13" s="34" t="inlineStr">
        <is>
          <t>Bosnia y Herzegovina</t>
        </is>
      </c>
      <c r="D13" s="34" t="inlineStr">
        <is>
          <t>Catar</t>
        </is>
      </c>
      <c r="E13" s="3" t="n">
        <v>2</v>
      </c>
      <c r="F13" s="3" t="n">
        <v>1</v>
      </c>
      <c r="G13" s="34">
        <f>IF(E13&gt;F13,"Local",IF(E13=F13,"Empate","Visitante"))</f>
        <v/>
      </c>
      <c r="H13" s="1">
        <f>E13-F13</f>
        <v/>
      </c>
      <c r="J13" s="6" t="inlineStr">
        <is>
          <t>Grupo</t>
        </is>
      </c>
      <c r="K13" s="7" t="inlineStr">
        <is>
          <t>Posición</t>
        </is>
      </c>
      <c r="L13" s="34" t="inlineStr">
        <is>
          <t>Equipo</t>
        </is>
      </c>
      <c r="M13" s="34" t="inlineStr">
        <is>
          <t>Puntos</t>
        </is>
      </c>
      <c r="N13" s="34" t="inlineStr">
        <is>
          <t>Diferencia</t>
        </is>
      </c>
      <c r="O13" s="34" t="inlineStr">
        <is>
          <t>GF</t>
        </is>
      </c>
      <c r="P13" s="5" t="inlineStr">
        <is>
          <t>GC</t>
        </is>
      </c>
      <c r="Q13" s="5" t="inlineStr">
        <is>
          <t>Victorias</t>
        </is>
      </c>
      <c r="R13" s="5" t="inlineStr">
        <is>
          <t>Empates</t>
        </is>
      </c>
      <c r="S13" s="7" t="inlineStr">
        <is>
          <t>Derrotas</t>
        </is>
      </c>
      <c r="T13" s="5" t="inlineStr">
        <is>
          <t>Victorias_L</t>
        </is>
      </c>
      <c r="U13" s="5" t="inlineStr">
        <is>
          <t>Victorias_V</t>
        </is>
      </c>
      <c r="V13" s="5" t="inlineStr">
        <is>
          <t>Empates_L</t>
        </is>
      </c>
      <c r="W13" s="5" t="inlineStr">
        <is>
          <t>Empates_V</t>
        </is>
      </c>
      <c r="X13" s="5" t="inlineStr">
        <is>
          <t>Derrotas_L</t>
        </is>
      </c>
      <c r="Y13" s="5" t="inlineStr">
        <is>
          <t>Derrotas_V</t>
        </is>
      </c>
      <c r="Z13" s="5" t="inlineStr">
        <is>
          <t>GF_L</t>
        </is>
      </c>
      <c r="AA13" s="5" t="inlineStr">
        <is>
          <t>GF_V</t>
        </is>
      </c>
      <c r="AB13" s="5" t="inlineStr">
        <is>
          <t>GC_L</t>
        </is>
      </c>
      <c r="AC13" s="5" t="inlineStr">
        <is>
          <t>GC_V</t>
        </is>
      </c>
    </row>
    <row r="14">
      <c r="A14" s="34" t="n">
        <v>13</v>
      </c>
      <c r="B14" s="34" t="inlineStr">
        <is>
          <t>C</t>
        </is>
      </c>
      <c r="C14" s="34" t="inlineStr">
        <is>
          <t>Brasil</t>
        </is>
      </c>
      <c r="D14" s="34" t="inlineStr">
        <is>
          <t>Marruecos</t>
        </is>
      </c>
      <c r="E14" s="3" t="n">
        <v>2</v>
      </c>
      <c r="F14" s="3" t="n">
        <v>1</v>
      </c>
      <c r="G14" s="34">
        <f>IF(E14&gt;F14,"Local",IF(E14=F14,"Empate","Visitante"))</f>
        <v/>
      </c>
      <c r="H14" s="1">
        <f>E14-F14</f>
        <v/>
      </c>
      <c r="J14" s="34" t="inlineStr">
        <is>
          <t>C</t>
        </is>
      </c>
      <c r="K14" s="8" t="n">
        <v>1</v>
      </c>
      <c r="L14" s="34" t="inlineStr">
        <is>
          <t>Brasil</t>
        </is>
      </c>
      <c r="M14" s="3">
        <f>(Q14*3)+R14</f>
        <v/>
      </c>
      <c r="N14" s="3">
        <f>O14-P14</f>
        <v/>
      </c>
      <c r="O14" s="3">
        <f>Z14+AA14</f>
        <v/>
      </c>
      <c r="P14" s="3">
        <f>AB14+AC14</f>
        <v/>
      </c>
      <c r="Q14" s="34">
        <f>T14+U14</f>
        <v/>
      </c>
      <c r="R14" s="34">
        <f>V14+W14</f>
        <v/>
      </c>
      <c r="S14" s="9">
        <f>X14+Y14</f>
        <v/>
      </c>
      <c r="T14" s="34">
        <f>COUNTIFS(C:C,L14,G:G,"Local")</f>
        <v/>
      </c>
      <c r="U14" s="34">
        <f>COUNTIFS(D:D,L14,G:G,"Visitante")</f>
        <v/>
      </c>
      <c r="V14" s="34">
        <f>COUNTIFS(C:C,L14,G:G,"Empate")</f>
        <v/>
      </c>
      <c r="W14" s="34">
        <f>COUNTIFS(D:D,L14,G:G,"Empate")</f>
        <v/>
      </c>
      <c r="X14" s="34">
        <f>COUNTIFS(C:C,L14,G:G,"Visitante")</f>
        <v/>
      </c>
      <c r="Y14" s="34">
        <f>COUNTIFS(D:D,L14,G:G,"Local")</f>
        <v/>
      </c>
      <c r="Z14" s="34">
        <f>SUMIF(C:C,L14,E:E)</f>
        <v/>
      </c>
      <c r="AA14" s="34">
        <f>SUMIF(D:D,L14,F:F)</f>
        <v/>
      </c>
      <c r="AB14" s="34">
        <f>SUMIF(C:C,L14,F:F)</f>
        <v/>
      </c>
      <c r="AC14" s="34">
        <f>SUMIF(D:D,L14,E:E)</f>
        <v/>
      </c>
    </row>
    <row r="15">
      <c r="A15" s="34" t="n">
        <v>14</v>
      </c>
      <c r="B15" s="34" t="inlineStr">
        <is>
          <t>C</t>
        </is>
      </c>
      <c r="C15" s="34" t="inlineStr">
        <is>
          <t>Haití</t>
        </is>
      </c>
      <c r="D15" s="34" t="inlineStr">
        <is>
          <t>Escocia</t>
        </is>
      </c>
      <c r="E15" s="3" t="n">
        <v>0</v>
      </c>
      <c r="F15" s="3" t="n">
        <v>2</v>
      </c>
      <c r="G15" s="34">
        <f>IF(E15&gt;F15,"Local",IF(E15=F15,"Empate","Visitante"))</f>
        <v/>
      </c>
      <c r="H15" s="1">
        <f>E15-F15</f>
        <v/>
      </c>
      <c r="J15" s="32" t="n"/>
      <c r="K15" s="8" t="n">
        <v>2</v>
      </c>
      <c r="L15" s="34" t="inlineStr">
        <is>
          <t>Marruecos</t>
        </is>
      </c>
      <c r="M15" s="3">
        <f>(Q15*3)+R15</f>
        <v/>
      </c>
      <c r="N15" s="3">
        <f>O15-P15</f>
        <v/>
      </c>
      <c r="O15" s="3">
        <f>Z15+AA15</f>
        <v/>
      </c>
      <c r="P15" s="3">
        <f>AB15+AC15</f>
        <v/>
      </c>
      <c r="Q15" s="34">
        <f>T15+U15</f>
        <v/>
      </c>
      <c r="R15" s="34">
        <f>V15+W15</f>
        <v/>
      </c>
      <c r="S15" s="9">
        <f>X15+Y15</f>
        <v/>
      </c>
      <c r="T15" s="34">
        <f>COUNTIFS(C:C,L15,G:G,"Local")</f>
        <v/>
      </c>
      <c r="U15" s="34">
        <f>COUNTIFS(D:D,L15,G:G,"Visitante")</f>
        <v/>
      </c>
      <c r="V15" s="34">
        <f>COUNTIFS(C:C,L15,G:G,"Empate")</f>
        <v/>
      </c>
      <c r="W15" s="34">
        <f>COUNTIFS(D:D,L15,G:G,"Empate")</f>
        <v/>
      </c>
      <c r="X15" s="34">
        <f>COUNTIFS(C:C,L15,G:G,"Visitante")</f>
        <v/>
      </c>
      <c r="Y15" s="34">
        <f>COUNTIFS(D:D,L15,G:G,"Local")</f>
        <v/>
      </c>
      <c r="Z15" s="34">
        <f>SUMIF(C:C,L15,E:E)</f>
        <v/>
      </c>
      <c r="AA15" s="34">
        <f>SUMIF(D:D,L15,F:F)</f>
        <v/>
      </c>
      <c r="AB15" s="34">
        <f>SUMIF(C:C,L15,F:F)</f>
        <v/>
      </c>
      <c r="AC15" s="34">
        <f>SUMIF(D:D,L15,E:E)</f>
        <v/>
      </c>
    </row>
    <row r="16">
      <c r="A16" s="34" t="n">
        <v>15</v>
      </c>
      <c r="B16" s="34" t="inlineStr">
        <is>
          <t>C</t>
        </is>
      </c>
      <c r="C16" s="34" t="inlineStr">
        <is>
          <t>Escocia</t>
        </is>
      </c>
      <c r="D16" s="34" t="inlineStr">
        <is>
          <t>Marruecos</t>
        </is>
      </c>
      <c r="E16" s="3" t="n">
        <v>1</v>
      </c>
      <c r="F16" s="3" t="n">
        <v>2</v>
      </c>
      <c r="G16" s="34">
        <f>IF(E16&gt;F16,"Local",IF(E16=F16,"Empate","Visitante"))</f>
        <v/>
      </c>
      <c r="H16" s="1">
        <f>E16-F16</f>
        <v/>
      </c>
      <c r="J16" s="32" t="n"/>
      <c r="K16" s="8" t="n">
        <v>3</v>
      </c>
      <c r="L16" s="34" t="inlineStr">
        <is>
          <t>Escocia</t>
        </is>
      </c>
      <c r="M16" s="3">
        <f>(Q16*3)+R16</f>
        <v/>
      </c>
      <c r="N16" s="3">
        <f>O16-P16</f>
        <v/>
      </c>
      <c r="O16" s="3">
        <f>Z16+AA16</f>
        <v/>
      </c>
      <c r="P16" s="3">
        <f>AB16+AC16</f>
        <v/>
      </c>
      <c r="Q16" s="34">
        <f>T16+U16</f>
        <v/>
      </c>
      <c r="R16" s="34">
        <f>V16+W16</f>
        <v/>
      </c>
      <c r="S16" s="9">
        <f>X16+Y16</f>
        <v/>
      </c>
      <c r="T16" s="34">
        <f>COUNTIFS(C:C,L16,G:G,"Local")</f>
        <v/>
      </c>
      <c r="U16" s="34">
        <f>COUNTIFS(D:D,L16,G:G,"Visitante")</f>
        <v/>
      </c>
      <c r="V16" s="34">
        <f>COUNTIFS(C:C,L16,G:G,"Empate")</f>
        <v/>
      </c>
      <c r="W16" s="34">
        <f>COUNTIFS(D:D,L16,G:G,"Empate")</f>
        <v/>
      </c>
      <c r="X16" s="34">
        <f>COUNTIFS(C:C,L16,G:G,"Visitante")</f>
        <v/>
      </c>
      <c r="Y16" s="34">
        <f>COUNTIFS(D:D,L16,G:G,"Local")</f>
        <v/>
      </c>
      <c r="Z16" s="34">
        <f>SUMIF(C:C,L16,E:E)</f>
        <v/>
      </c>
      <c r="AA16" s="34">
        <f>SUMIF(D:D,L16,F:F)</f>
        <v/>
      </c>
      <c r="AB16" s="34">
        <f>SUMIF(C:C,L16,F:F)</f>
        <v/>
      </c>
      <c r="AC16" s="34">
        <f>SUMIF(D:D,L16,E:E)</f>
        <v/>
      </c>
    </row>
    <row r="17">
      <c r="A17" s="34" t="n">
        <v>16</v>
      </c>
      <c r="B17" s="34" t="inlineStr">
        <is>
          <t>C</t>
        </is>
      </c>
      <c r="C17" s="34" t="inlineStr">
        <is>
          <t>Brasil</t>
        </is>
      </c>
      <c r="D17" s="34" t="inlineStr">
        <is>
          <t>Haití</t>
        </is>
      </c>
      <c r="E17" s="3" t="n">
        <v>4</v>
      </c>
      <c r="F17" s="3" t="n">
        <v>0</v>
      </c>
      <c r="G17" s="34">
        <f>IF(E17&gt;F17,"Local",IF(E17=F17,"Empate","Visitante"))</f>
        <v/>
      </c>
      <c r="H17" s="1">
        <f>E17-F17</f>
        <v/>
      </c>
      <c r="J17" s="33" t="n"/>
      <c r="K17" s="10" t="n">
        <v>4</v>
      </c>
      <c r="L17" s="4" t="inlineStr">
        <is>
          <t>Haití</t>
        </is>
      </c>
      <c r="M17" s="11">
        <f>(Q17*3)+R17</f>
        <v/>
      </c>
      <c r="N17" s="11">
        <f>O17-P17</f>
        <v/>
      </c>
      <c r="O17" s="11">
        <f>Z17+AA17</f>
        <v/>
      </c>
      <c r="P17" s="11">
        <f>AB17+AC17</f>
        <v/>
      </c>
      <c r="Q17" s="4">
        <f>T17+U17</f>
        <v/>
      </c>
      <c r="R17" s="4">
        <f>V17+W17</f>
        <v/>
      </c>
      <c r="S17" s="12">
        <f>X17+Y17</f>
        <v/>
      </c>
      <c r="T17" s="34">
        <f>COUNTIFS(C:C,L17,G:G,"Local")</f>
        <v/>
      </c>
      <c r="U17" s="34">
        <f>COUNTIFS(D:D,L17,G:G,"Visitante")</f>
        <v/>
      </c>
      <c r="V17" s="34">
        <f>COUNTIFS(C:C,L17,G:G,"Empate")</f>
        <v/>
      </c>
      <c r="W17" s="34">
        <f>COUNTIFS(D:D,L17,G:G,"Empate")</f>
        <v/>
      </c>
      <c r="X17" s="34">
        <f>COUNTIFS(C:C,L17,G:G,"Visitante")</f>
        <v/>
      </c>
      <c r="Y17" s="34">
        <f>COUNTIFS(D:D,L17,G:G,"Local")</f>
        <v/>
      </c>
      <c r="Z17" s="34">
        <f>SUMIF(C:C,L17,E:E)</f>
        <v/>
      </c>
      <c r="AA17" s="34">
        <f>SUMIF(D:D,L17,F:F)</f>
        <v/>
      </c>
      <c r="AB17" s="34">
        <f>SUMIF(C:C,L17,F:F)</f>
        <v/>
      </c>
      <c r="AC17" s="34">
        <f>SUMIF(D:D,L17,E:E)</f>
        <v/>
      </c>
    </row>
    <row r="18">
      <c r="A18" s="34" t="n">
        <v>17</v>
      </c>
      <c r="B18" s="34" t="inlineStr">
        <is>
          <t>C</t>
        </is>
      </c>
      <c r="C18" s="34" t="inlineStr">
        <is>
          <t>Escocia</t>
        </is>
      </c>
      <c r="D18" s="34" t="inlineStr">
        <is>
          <t>Brasil</t>
        </is>
      </c>
      <c r="E18" s="3" t="n">
        <v>1</v>
      </c>
      <c r="F18" s="3" t="n">
        <v>3</v>
      </c>
      <c r="G18" s="34">
        <f>IF(E18&gt;F18,"Local",IF(E18=F18,"Empate","Visitante"))</f>
        <v/>
      </c>
      <c r="H18" s="1">
        <f>E18-F18</f>
        <v/>
      </c>
    </row>
    <row r="19">
      <c r="A19" s="34" t="n">
        <v>18</v>
      </c>
      <c r="B19" s="34" t="inlineStr">
        <is>
          <t>C</t>
        </is>
      </c>
      <c r="C19" s="34" t="inlineStr">
        <is>
          <t>Marruecos</t>
        </is>
      </c>
      <c r="D19" s="34" t="inlineStr">
        <is>
          <t>Haití</t>
        </is>
      </c>
      <c r="E19" s="3" t="n">
        <v>3</v>
      </c>
      <c r="F19" s="3" t="n">
        <v>0</v>
      </c>
      <c r="G19" s="34">
        <f>IF(E19&gt;F19,"Local",IF(E19=F19,"Empate","Visitante"))</f>
        <v/>
      </c>
      <c r="H19" s="1">
        <f>E19-F19</f>
        <v/>
      </c>
      <c r="J19" s="6" t="inlineStr">
        <is>
          <t>Grupo</t>
        </is>
      </c>
      <c r="K19" s="7" t="inlineStr">
        <is>
          <t>Posición</t>
        </is>
      </c>
      <c r="L19" s="34" t="inlineStr">
        <is>
          <t>Equipo</t>
        </is>
      </c>
      <c r="M19" s="34" t="inlineStr">
        <is>
          <t>Puntos</t>
        </is>
      </c>
      <c r="N19" s="34" t="inlineStr">
        <is>
          <t>Diferencia</t>
        </is>
      </c>
      <c r="O19" s="34" t="inlineStr">
        <is>
          <t>GF</t>
        </is>
      </c>
      <c r="P19" s="5" t="inlineStr">
        <is>
          <t>GC</t>
        </is>
      </c>
      <c r="Q19" s="5" t="inlineStr">
        <is>
          <t>Victorias</t>
        </is>
      </c>
      <c r="R19" s="5" t="inlineStr">
        <is>
          <t>Empates</t>
        </is>
      </c>
      <c r="S19" s="7" t="inlineStr">
        <is>
          <t>Derrotas</t>
        </is>
      </c>
      <c r="T19" s="5" t="inlineStr">
        <is>
          <t>Victorias_L</t>
        </is>
      </c>
      <c r="U19" s="5" t="inlineStr">
        <is>
          <t>Victorias_V</t>
        </is>
      </c>
      <c r="V19" s="5" t="inlineStr">
        <is>
          <t>Empates_L</t>
        </is>
      </c>
      <c r="W19" s="5" t="inlineStr">
        <is>
          <t>Empates_V</t>
        </is>
      </c>
      <c r="X19" s="5" t="inlineStr">
        <is>
          <t>Derrotas_L</t>
        </is>
      </c>
      <c r="Y19" s="5" t="inlineStr">
        <is>
          <t>Derrotas_V</t>
        </is>
      </c>
      <c r="Z19" s="5" t="inlineStr">
        <is>
          <t>GF_L</t>
        </is>
      </c>
      <c r="AA19" s="5" t="inlineStr">
        <is>
          <t>GF_V</t>
        </is>
      </c>
      <c r="AB19" s="5" t="inlineStr">
        <is>
          <t>GC_L</t>
        </is>
      </c>
      <c r="AC19" s="5" t="inlineStr">
        <is>
          <t>GC_V</t>
        </is>
      </c>
    </row>
    <row r="20">
      <c r="A20" s="34" t="n">
        <v>19</v>
      </c>
      <c r="B20" s="34" t="inlineStr">
        <is>
          <t>D</t>
        </is>
      </c>
      <c r="C20" s="34" t="inlineStr">
        <is>
          <t>Estados Unidos</t>
        </is>
      </c>
      <c r="D20" s="34" t="inlineStr">
        <is>
          <t>Paraguay</t>
        </is>
      </c>
      <c r="E20" s="3" t="n">
        <v>1</v>
      </c>
      <c r="F20" s="3" t="n">
        <v>2</v>
      </c>
      <c r="G20" s="34">
        <f>IF(E20&gt;F20,"Local",IF(E20=F20,"Empate","Visitante"))</f>
        <v/>
      </c>
      <c r="H20" s="1">
        <f>E20-F20</f>
        <v/>
      </c>
      <c r="J20" s="34" t="inlineStr">
        <is>
          <t>D</t>
        </is>
      </c>
      <c r="K20" s="8" t="n">
        <v>1</v>
      </c>
      <c r="L20" s="34" t="inlineStr">
        <is>
          <t>Turquía</t>
        </is>
      </c>
      <c r="M20" s="3">
        <f>(Q20*3)+R20</f>
        <v/>
      </c>
      <c r="N20" s="3">
        <f>O20-P20</f>
        <v/>
      </c>
      <c r="O20" s="3">
        <f>Z20+AA20</f>
        <v/>
      </c>
      <c r="P20" s="3">
        <f>AB20+AC20</f>
        <v/>
      </c>
      <c r="Q20" s="34">
        <f>T20+U20</f>
        <v/>
      </c>
      <c r="R20" s="34">
        <f>V20+W20</f>
        <v/>
      </c>
      <c r="S20" s="9">
        <f>X20+Y20</f>
        <v/>
      </c>
      <c r="T20" s="34">
        <f>COUNTIFS(C:C,L20,G:G,"Local")</f>
        <v/>
      </c>
      <c r="U20" s="34">
        <f>COUNTIFS(D:D,L20,G:G,"Visitante")</f>
        <v/>
      </c>
      <c r="V20" s="34">
        <f>COUNTIFS(C:C,L20,G:G,"Empate")</f>
        <v/>
      </c>
      <c r="W20" s="34">
        <f>COUNTIFS(D:D,L20,G:G,"Empate")</f>
        <v/>
      </c>
      <c r="X20" s="34">
        <f>COUNTIFS(C:C,L20,G:G,"Visitante")</f>
        <v/>
      </c>
      <c r="Y20" s="34">
        <f>COUNTIFS(D:D,L20,G:G,"Local")</f>
        <v/>
      </c>
      <c r="Z20" s="34">
        <f>SUMIF(C:C,L20,E:E)</f>
        <v/>
      </c>
      <c r="AA20" s="34">
        <f>SUMIF(D:D,L20,F:F)</f>
        <v/>
      </c>
      <c r="AB20" s="34">
        <f>SUMIF(C:C,L20,F:F)</f>
        <v/>
      </c>
      <c r="AC20" s="34">
        <f>SUMIF(D:D,L20,E:E)</f>
        <v/>
      </c>
    </row>
    <row r="21">
      <c r="A21" s="34" t="n">
        <v>20</v>
      </c>
      <c r="B21" s="34" t="inlineStr">
        <is>
          <t>D</t>
        </is>
      </c>
      <c r="C21" s="34" t="inlineStr">
        <is>
          <t>Australia</t>
        </is>
      </c>
      <c r="D21" s="34" t="inlineStr">
        <is>
          <t>Turquía</t>
        </is>
      </c>
      <c r="E21" s="3" t="n">
        <v>0</v>
      </c>
      <c r="F21" s="3" t="n">
        <v>2</v>
      </c>
      <c r="G21" s="34">
        <f>IF(E21&gt;F21,"Local",IF(E21=F21,"Empate","Visitante"))</f>
        <v/>
      </c>
      <c r="H21" s="1">
        <f>E21-F21</f>
        <v/>
      </c>
      <c r="J21" s="32" t="n"/>
      <c r="K21" s="8" t="n">
        <v>2</v>
      </c>
      <c r="L21" s="34" t="inlineStr">
        <is>
          <t>Paraguay</t>
        </is>
      </c>
      <c r="M21" s="3">
        <f>(Q21*3)+R21</f>
        <v/>
      </c>
      <c r="N21" s="3">
        <f>O21-P21</f>
        <v/>
      </c>
      <c r="O21" s="3">
        <f>Z21+AA21</f>
        <v/>
      </c>
      <c r="P21" s="3">
        <f>AB21+AC21</f>
        <v/>
      </c>
      <c r="Q21" s="34">
        <f>T21+U21</f>
        <v/>
      </c>
      <c r="R21" s="34">
        <f>V21+W21</f>
        <v/>
      </c>
      <c r="S21" s="9">
        <f>X21+Y21</f>
        <v/>
      </c>
      <c r="T21" s="34">
        <f>COUNTIFS(C:C,L21,G:G,"Local")</f>
        <v/>
      </c>
      <c r="U21" s="34">
        <f>COUNTIFS(D:D,L21,G:G,"Visitante")</f>
        <v/>
      </c>
      <c r="V21" s="34">
        <f>COUNTIFS(C:C,L21,G:G,"Empate")</f>
        <v/>
      </c>
      <c r="W21" s="34">
        <f>COUNTIFS(D:D,L21,G:G,"Empate")</f>
        <v/>
      </c>
      <c r="X21" s="34">
        <f>COUNTIFS(C:C,L21,G:G,"Visitante")</f>
        <v/>
      </c>
      <c r="Y21" s="34">
        <f>COUNTIFS(D:D,L21,G:G,"Local")</f>
        <v/>
      </c>
      <c r="Z21" s="34">
        <f>SUMIF(C:C,L21,E:E)</f>
        <v/>
      </c>
      <c r="AA21" s="34">
        <f>SUMIF(D:D,L21,F:F)</f>
        <v/>
      </c>
      <c r="AB21" s="34">
        <f>SUMIF(C:C,L21,F:F)</f>
        <v/>
      </c>
      <c r="AC21" s="34">
        <f>SUMIF(D:D,L21,E:E)</f>
        <v/>
      </c>
    </row>
    <row r="22">
      <c r="A22" s="34" t="n">
        <v>21</v>
      </c>
      <c r="B22" s="34" t="inlineStr">
        <is>
          <t>D</t>
        </is>
      </c>
      <c r="C22" s="34" t="inlineStr">
        <is>
          <t>Estados Unidos</t>
        </is>
      </c>
      <c r="D22" s="34" t="inlineStr">
        <is>
          <t>Australia</t>
        </is>
      </c>
      <c r="E22" s="3" t="n">
        <v>2</v>
      </c>
      <c r="F22" s="3" t="n">
        <v>1</v>
      </c>
      <c r="G22" s="34">
        <f>IF(E22&gt;F22,"Local",IF(E22=F22,"Empate","Visitante"))</f>
        <v/>
      </c>
      <c r="H22" s="1">
        <f>E22-F22</f>
        <v/>
      </c>
      <c r="J22" s="32" t="n"/>
      <c r="K22" s="8" t="n">
        <v>3</v>
      </c>
      <c r="L22" s="34" t="inlineStr">
        <is>
          <t>Estados Unidos</t>
        </is>
      </c>
      <c r="M22" s="3">
        <f>(Q22*3)+R22</f>
        <v/>
      </c>
      <c r="N22" s="3">
        <f>O22-P22</f>
        <v/>
      </c>
      <c r="O22" s="3">
        <f>Z22+AA22</f>
        <v/>
      </c>
      <c r="P22" s="3">
        <f>AB22+AC22</f>
        <v/>
      </c>
      <c r="Q22" s="34">
        <f>T22+U22</f>
        <v/>
      </c>
      <c r="R22" s="34">
        <f>V22+W22</f>
        <v/>
      </c>
      <c r="S22" s="9">
        <f>X22+Y22</f>
        <v/>
      </c>
      <c r="T22" s="34">
        <f>COUNTIFS(C:C,L22,G:G,"Local")</f>
        <v/>
      </c>
      <c r="U22" s="34">
        <f>COUNTIFS(D:D,L22,G:G,"Visitante")</f>
        <v/>
      </c>
      <c r="V22" s="34">
        <f>COUNTIFS(C:C,L22,G:G,"Empate")</f>
        <v/>
      </c>
      <c r="W22" s="34">
        <f>COUNTIFS(D:D,L22,G:G,"Empate")</f>
        <v/>
      </c>
      <c r="X22" s="34">
        <f>COUNTIFS(C:C,L22,G:G,"Visitante")</f>
        <v/>
      </c>
      <c r="Y22" s="34">
        <f>COUNTIFS(D:D,L22,G:G,"Local")</f>
        <v/>
      </c>
      <c r="Z22" s="34">
        <f>SUMIF(C:C,L22,E:E)</f>
        <v/>
      </c>
      <c r="AA22" s="34">
        <f>SUMIF(D:D,L22,F:F)</f>
        <v/>
      </c>
      <c r="AB22" s="34">
        <f>SUMIF(C:C,L22,F:F)</f>
        <v/>
      </c>
      <c r="AC22" s="34">
        <f>SUMIF(D:D,L22,E:E)</f>
        <v/>
      </c>
    </row>
    <row r="23">
      <c r="A23" s="34" t="n">
        <v>22</v>
      </c>
      <c r="B23" s="34" t="inlineStr">
        <is>
          <t>D</t>
        </is>
      </c>
      <c r="C23" s="34" t="inlineStr">
        <is>
          <t>Turquía</t>
        </is>
      </c>
      <c r="D23" s="34" t="inlineStr">
        <is>
          <t>Paraguay</t>
        </is>
      </c>
      <c r="E23" s="3" t="n">
        <v>1</v>
      </c>
      <c r="F23" s="3" t="n">
        <v>1</v>
      </c>
      <c r="G23" s="34">
        <f>IF(E23&gt;F23,"Local",IF(E23=F23,"Empate","Visitante"))</f>
        <v/>
      </c>
      <c r="H23" s="1">
        <f>E23-F23</f>
        <v/>
      </c>
      <c r="J23" s="33" t="n"/>
      <c r="K23" s="10" t="n">
        <v>4</v>
      </c>
      <c r="L23" s="4" t="inlineStr">
        <is>
          <t>Australia</t>
        </is>
      </c>
      <c r="M23" s="11">
        <f>(Q23*3)+R23</f>
        <v/>
      </c>
      <c r="N23" s="11">
        <f>O23-P23</f>
        <v/>
      </c>
      <c r="O23" s="11">
        <f>Z23+AA23</f>
        <v/>
      </c>
      <c r="P23" s="11">
        <f>AB23+AC23</f>
        <v/>
      </c>
      <c r="Q23" s="4">
        <f>T23+U23</f>
        <v/>
      </c>
      <c r="R23" s="4">
        <f>V23+W23</f>
        <v/>
      </c>
      <c r="S23" s="12">
        <f>X23+Y23</f>
        <v/>
      </c>
      <c r="T23" s="34">
        <f>COUNTIFS(C:C,L23,G:G,"Local")</f>
        <v/>
      </c>
      <c r="U23" s="34">
        <f>COUNTIFS(D:D,L23,G:G,"Visitante")</f>
        <v/>
      </c>
      <c r="V23" s="34">
        <f>COUNTIFS(C:C,L23,G:G,"Empate")</f>
        <v/>
      </c>
      <c r="W23" s="34">
        <f>COUNTIFS(D:D,L23,G:G,"Empate")</f>
        <v/>
      </c>
      <c r="X23" s="34">
        <f>COUNTIFS(C:C,L23,G:G,"Visitante")</f>
        <v/>
      </c>
      <c r="Y23" s="34">
        <f>COUNTIFS(D:D,L23,G:G,"Local")</f>
        <v/>
      </c>
      <c r="Z23" s="34">
        <f>SUMIF(C:C,L23,E:E)</f>
        <v/>
      </c>
      <c r="AA23" s="34">
        <f>SUMIF(D:D,L23,F:F)</f>
        <v/>
      </c>
      <c r="AB23" s="34">
        <f>SUMIF(C:C,L23,F:F)</f>
        <v/>
      </c>
      <c r="AC23" s="34">
        <f>SUMIF(D:D,L23,E:E)</f>
        <v/>
      </c>
    </row>
    <row r="24">
      <c r="A24" s="34" t="n">
        <v>23</v>
      </c>
      <c r="B24" s="34" t="inlineStr">
        <is>
          <t>D</t>
        </is>
      </c>
      <c r="C24" s="34" t="inlineStr">
        <is>
          <t>Turquía</t>
        </is>
      </c>
      <c r="D24" s="34" t="inlineStr">
        <is>
          <t>Estados Unidos</t>
        </is>
      </c>
      <c r="E24" s="3" t="n">
        <v>3</v>
      </c>
      <c r="F24" s="3" t="n">
        <v>1</v>
      </c>
      <c r="G24" s="34">
        <f>IF(E24&gt;F24,"Local",IF(E24=F24,"Empate","Visitante"))</f>
        <v/>
      </c>
      <c r="H24" s="1">
        <f>E24-F24</f>
        <v/>
      </c>
    </row>
    <row r="25">
      <c r="A25" s="34" t="n">
        <v>24</v>
      </c>
      <c r="B25" s="34" t="inlineStr">
        <is>
          <t>D</t>
        </is>
      </c>
      <c r="C25" s="34" t="inlineStr">
        <is>
          <t>Paraguay</t>
        </is>
      </c>
      <c r="D25" s="34" t="inlineStr">
        <is>
          <t>Australia</t>
        </is>
      </c>
      <c r="E25" s="3" t="n">
        <v>3</v>
      </c>
      <c r="F25" s="3" t="n">
        <v>1</v>
      </c>
      <c r="G25" s="34">
        <f>IF(E25&gt;F25,"Local",IF(E25=F25,"Empate","Visitante"))</f>
        <v/>
      </c>
      <c r="H25" s="1">
        <f>E25-F25</f>
        <v/>
      </c>
      <c r="J25" s="6" t="inlineStr">
        <is>
          <t>Grupo</t>
        </is>
      </c>
      <c r="K25" s="7" t="inlineStr">
        <is>
          <t>Posición</t>
        </is>
      </c>
      <c r="L25" s="34" t="inlineStr">
        <is>
          <t>Equipo</t>
        </is>
      </c>
      <c r="M25" s="34" t="inlineStr">
        <is>
          <t>Puntos</t>
        </is>
      </c>
      <c r="N25" s="34" t="inlineStr">
        <is>
          <t>Diferencia</t>
        </is>
      </c>
      <c r="O25" s="34" t="inlineStr">
        <is>
          <t>GF</t>
        </is>
      </c>
      <c r="P25" s="5" t="inlineStr">
        <is>
          <t>GC</t>
        </is>
      </c>
      <c r="Q25" s="5" t="inlineStr">
        <is>
          <t>Victorias</t>
        </is>
      </c>
      <c r="R25" s="5" t="inlineStr">
        <is>
          <t>Empates</t>
        </is>
      </c>
      <c r="S25" s="7" t="inlineStr">
        <is>
          <t>Derrotas</t>
        </is>
      </c>
      <c r="T25" s="5" t="inlineStr">
        <is>
          <t>Victorias_L</t>
        </is>
      </c>
      <c r="U25" s="5" t="inlineStr">
        <is>
          <t>Victorias_V</t>
        </is>
      </c>
      <c r="V25" s="5" t="inlineStr">
        <is>
          <t>Empates_L</t>
        </is>
      </c>
      <c r="W25" s="5" t="inlineStr">
        <is>
          <t>Empates_V</t>
        </is>
      </c>
      <c r="X25" s="5" t="inlineStr">
        <is>
          <t>Derrotas_L</t>
        </is>
      </c>
      <c r="Y25" s="5" t="inlineStr">
        <is>
          <t>Derrotas_V</t>
        </is>
      </c>
      <c r="Z25" s="5" t="inlineStr">
        <is>
          <t>GF_L</t>
        </is>
      </c>
      <c r="AA25" s="5" t="inlineStr">
        <is>
          <t>GF_V</t>
        </is>
      </c>
      <c r="AB25" s="5" t="inlineStr">
        <is>
          <t>GC_L</t>
        </is>
      </c>
      <c r="AC25" s="5" t="inlineStr">
        <is>
          <t>GC_V</t>
        </is>
      </c>
    </row>
    <row r="26">
      <c r="A26" s="34" t="n">
        <v>25</v>
      </c>
      <c r="B26" s="34" t="inlineStr">
        <is>
          <t>E</t>
        </is>
      </c>
      <c r="C26" s="34" t="inlineStr">
        <is>
          <t>Alemania</t>
        </is>
      </c>
      <c r="D26" s="34" t="inlineStr">
        <is>
          <t>Curazao</t>
        </is>
      </c>
      <c r="E26" s="3" t="n">
        <v>4</v>
      </c>
      <c r="F26" s="3" t="n">
        <v>0</v>
      </c>
      <c r="G26" s="34">
        <f>IF(E26&gt;F26,"Local",IF(E26=F26,"Empate","Visitante"))</f>
        <v/>
      </c>
      <c r="H26" s="1">
        <f>E26-F26</f>
        <v/>
      </c>
      <c r="J26" s="34" t="inlineStr">
        <is>
          <t>E</t>
        </is>
      </c>
      <c r="K26" s="8" t="n">
        <v>1</v>
      </c>
      <c r="L26" s="34" t="inlineStr">
        <is>
          <t>Alemania</t>
        </is>
      </c>
      <c r="M26" s="3">
        <f>(Q26*3)+R26</f>
        <v/>
      </c>
      <c r="N26" s="3">
        <f>O26-P26</f>
        <v/>
      </c>
      <c r="O26" s="3">
        <f>Z26+AA26</f>
        <v/>
      </c>
      <c r="P26" s="3">
        <f>AB26+AC26</f>
        <v/>
      </c>
      <c r="Q26" s="34">
        <f>T26+U26</f>
        <v/>
      </c>
      <c r="R26" s="34">
        <f>V26+W26</f>
        <v/>
      </c>
      <c r="S26" s="9">
        <f>X26+Y26</f>
        <v/>
      </c>
      <c r="T26" s="34">
        <f>COUNTIFS(C:C,L26,G:G,"Local")</f>
        <v/>
      </c>
      <c r="U26" s="34">
        <f>COUNTIFS(D:D,L26,G:G,"Visitante")</f>
        <v/>
      </c>
      <c r="V26" s="34">
        <f>COUNTIFS(C:C,L26,G:G,"Empate")</f>
        <v/>
      </c>
      <c r="W26" s="34">
        <f>COUNTIFS(D:D,L26,G:G,"Empate")</f>
        <v/>
      </c>
      <c r="X26" s="34">
        <f>COUNTIFS(C:C,L26,G:G,"Visitante")</f>
        <v/>
      </c>
      <c r="Y26" s="34">
        <f>COUNTIFS(D:D,L26,G:G,"Local")</f>
        <v/>
      </c>
      <c r="Z26" s="34">
        <f>SUMIF(C:C,L26,E:E)</f>
        <v/>
      </c>
      <c r="AA26" s="34">
        <f>SUMIF(D:D,L26,F:F)</f>
        <v/>
      </c>
      <c r="AB26" s="34">
        <f>SUMIF(C:C,L26,F:F)</f>
        <v/>
      </c>
      <c r="AC26" s="34">
        <f>SUMIF(D:D,L26,E:E)</f>
        <v/>
      </c>
    </row>
    <row r="27">
      <c r="A27" s="34" t="n">
        <v>26</v>
      </c>
      <c r="B27" s="34" t="inlineStr">
        <is>
          <t>E</t>
        </is>
      </c>
      <c r="C27" s="34" t="inlineStr">
        <is>
          <t>Costa de Marfil</t>
        </is>
      </c>
      <c r="D27" s="34" t="inlineStr">
        <is>
          <t>Ecuador</t>
        </is>
      </c>
      <c r="E27" s="3" t="n">
        <v>1</v>
      </c>
      <c r="F27" s="3" t="n">
        <v>1</v>
      </c>
      <c r="G27" s="34">
        <f>IF(E27&gt;F27,"Local",IF(E27=F27,"Empate","Visitante"))</f>
        <v/>
      </c>
      <c r="H27" s="1">
        <f>E27-F27</f>
        <v/>
      </c>
      <c r="J27" s="32" t="n"/>
      <c r="K27" s="8" t="n">
        <v>2</v>
      </c>
      <c r="L27" s="34" t="inlineStr">
        <is>
          <t>Ecuador</t>
        </is>
      </c>
      <c r="M27" s="3">
        <f>(Q27*3)+R27</f>
        <v/>
      </c>
      <c r="N27" s="3">
        <f>O27-P27</f>
        <v/>
      </c>
      <c r="O27" s="3">
        <f>Z27+AA27</f>
        <v/>
      </c>
      <c r="P27" s="3">
        <f>AB27+AC27</f>
        <v/>
      </c>
      <c r="Q27" s="34">
        <f>T27+U27</f>
        <v/>
      </c>
      <c r="R27" s="34">
        <f>V27+W27</f>
        <v/>
      </c>
      <c r="S27" s="9">
        <f>X27+Y27</f>
        <v/>
      </c>
      <c r="T27" s="34">
        <f>COUNTIFS(C:C,L27,G:G,"Local")</f>
        <v/>
      </c>
      <c r="U27" s="34">
        <f>COUNTIFS(D:D,L27,G:G,"Visitante")</f>
        <v/>
      </c>
      <c r="V27" s="34">
        <f>COUNTIFS(C:C,L27,G:G,"Empate")</f>
        <v/>
      </c>
      <c r="W27" s="34">
        <f>COUNTIFS(D:D,L27,G:G,"Empate")</f>
        <v/>
      </c>
      <c r="X27" s="34">
        <f>COUNTIFS(C:C,L27,G:G,"Visitante")</f>
        <v/>
      </c>
      <c r="Y27" s="34">
        <f>COUNTIFS(D:D,L27,G:G,"Local")</f>
        <v/>
      </c>
      <c r="Z27" s="34">
        <f>SUMIF(C:C,L27,E:E)</f>
        <v/>
      </c>
      <c r="AA27" s="34">
        <f>SUMIF(D:D,L27,F:F)</f>
        <v/>
      </c>
      <c r="AB27" s="34">
        <f>SUMIF(C:C,L27,F:F)</f>
        <v/>
      </c>
      <c r="AC27" s="34">
        <f>SUMIF(D:D,L27,E:E)</f>
        <v/>
      </c>
    </row>
    <row r="28">
      <c r="A28" s="34" t="n">
        <v>27</v>
      </c>
      <c r="B28" s="34" t="inlineStr">
        <is>
          <t>E</t>
        </is>
      </c>
      <c r="C28" s="34" t="inlineStr">
        <is>
          <t>Alemania</t>
        </is>
      </c>
      <c r="D28" s="34" t="inlineStr">
        <is>
          <t>Costa de Marfil</t>
        </is>
      </c>
      <c r="E28" s="3" t="n">
        <v>3</v>
      </c>
      <c r="F28" s="3" t="n">
        <v>1</v>
      </c>
      <c r="G28" s="34">
        <f>IF(E28&gt;F28,"Local",IF(E28=F28,"Empate","Visitante"))</f>
        <v/>
      </c>
      <c r="H28" s="1">
        <f>E28-F28</f>
        <v/>
      </c>
      <c r="J28" s="32" t="n"/>
      <c r="K28" s="8" t="n">
        <v>3</v>
      </c>
      <c r="L28" s="34" t="inlineStr">
        <is>
          <t>Costa de Marfil</t>
        </is>
      </c>
      <c r="M28" s="3">
        <f>(Q28*3)+R28</f>
        <v/>
      </c>
      <c r="N28" s="3">
        <f>O28-P28</f>
        <v/>
      </c>
      <c r="O28" s="3">
        <f>Z28+AA28</f>
        <v/>
      </c>
      <c r="P28" s="3">
        <f>AB28+AC28</f>
        <v/>
      </c>
      <c r="Q28" s="34">
        <f>T28+U28</f>
        <v/>
      </c>
      <c r="R28" s="34">
        <f>V28+W28</f>
        <v/>
      </c>
      <c r="S28" s="9">
        <f>X28+Y28</f>
        <v/>
      </c>
      <c r="T28" s="34">
        <f>COUNTIFS(C:C,L28,G:G,"Local")</f>
        <v/>
      </c>
      <c r="U28" s="34">
        <f>COUNTIFS(D:D,L28,G:G,"Visitante")</f>
        <v/>
      </c>
      <c r="V28" s="34">
        <f>COUNTIFS(C:C,L28,G:G,"Empate")</f>
        <v/>
      </c>
      <c r="W28" s="34">
        <f>COUNTIFS(D:D,L28,G:G,"Empate")</f>
        <v/>
      </c>
      <c r="X28" s="34">
        <f>COUNTIFS(C:C,L28,G:G,"Visitante")</f>
        <v/>
      </c>
      <c r="Y28" s="34">
        <f>COUNTIFS(D:D,L28,G:G,"Local")</f>
        <v/>
      </c>
      <c r="Z28" s="34">
        <f>SUMIF(C:C,L28,E:E)</f>
        <v/>
      </c>
      <c r="AA28" s="34">
        <f>SUMIF(D:D,L28,F:F)</f>
        <v/>
      </c>
      <c r="AB28" s="34">
        <f>SUMIF(C:C,L28,F:F)</f>
        <v/>
      </c>
      <c r="AC28" s="34">
        <f>SUMIF(D:D,L28,E:E)</f>
        <v/>
      </c>
    </row>
    <row r="29">
      <c r="A29" s="34" t="n">
        <v>28</v>
      </c>
      <c r="B29" s="34" t="inlineStr">
        <is>
          <t>E</t>
        </is>
      </c>
      <c r="C29" s="34" t="inlineStr">
        <is>
          <t>Ecuador</t>
        </is>
      </c>
      <c r="D29" s="34" t="inlineStr">
        <is>
          <t>Curazao</t>
        </is>
      </c>
      <c r="E29" s="3" t="n">
        <v>3</v>
      </c>
      <c r="F29" s="3" t="n">
        <v>0</v>
      </c>
      <c r="G29" s="34">
        <f>IF(E29&gt;F29,"Local",IF(E29=F29,"Empate","Visitante"))</f>
        <v/>
      </c>
      <c r="H29" s="1">
        <f>E29-F29</f>
        <v/>
      </c>
      <c r="J29" s="33" t="n"/>
      <c r="K29" s="10" t="n">
        <v>4</v>
      </c>
      <c r="L29" s="4" t="inlineStr">
        <is>
          <t>Curazao</t>
        </is>
      </c>
      <c r="M29" s="11">
        <f>(Q29*3)+R29</f>
        <v/>
      </c>
      <c r="N29" s="11">
        <f>O29-P29</f>
        <v/>
      </c>
      <c r="O29" s="11">
        <f>Z29+AA29</f>
        <v/>
      </c>
      <c r="P29" s="11">
        <f>AB29+AC29</f>
        <v/>
      </c>
      <c r="Q29" s="4">
        <f>T29+U29</f>
        <v/>
      </c>
      <c r="R29" s="4">
        <f>V29+W29</f>
        <v/>
      </c>
      <c r="S29" s="12">
        <f>X29+Y29</f>
        <v/>
      </c>
      <c r="T29" s="34">
        <f>COUNTIFS(C:C,L29,G:G,"Local")</f>
        <v/>
      </c>
      <c r="U29" s="34">
        <f>COUNTIFS(D:D,L29,G:G,"Visitante")</f>
        <v/>
      </c>
      <c r="V29" s="34">
        <f>COUNTIFS(C:C,L29,G:G,"Empate")</f>
        <v/>
      </c>
      <c r="W29" s="34">
        <f>COUNTIFS(D:D,L29,G:G,"Empate")</f>
        <v/>
      </c>
      <c r="X29" s="34">
        <f>COUNTIFS(C:C,L29,G:G,"Visitante")</f>
        <v/>
      </c>
      <c r="Y29" s="34">
        <f>COUNTIFS(D:D,L29,G:G,"Local")</f>
        <v/>
      </c>
      <c r="Z29" s="34">
        <f>SUMIF(C:C,L29,E:E)</f>
        <v/>
      </c>
      <c r="AA29" s="34">
        <f>SUMIF(D:D,L29,F:F)</f>
        <v/>
      </c>
      <c r="AB29" s="34">
        <f>SUMIF(C:C,L29,F:F)</f>
        <v/>
      </c>
      <c r="AC29" s="34">
        <f>SUMIF(D:D,L29,E:E)</f>
        <v/>
      </c>
    </row>
    <row r="30">
      <c r="A30" s="34" t="n">
        <v>29</v>
      </c>
      <c r="B30" s="34" t="inlineStr">
        <is>
          <t>E</t>
        </is>
      </c>
      <c r="C30" s="34" t="inlineStr">
        <is>
          <t>Curazao</t>
        </is>
      </c>
      <c r="D30" s="34" t="inlineStr">
        <is>
          <t>Costa de Marfil</t>
        </is>
      </c>
      <c r="E30" s="3" t="n">
        <v>0</v>
      </c>
      <c r="F30" s="3" t="n">
        <v>3</v>
      </c>
      <c r="G30" s="34">
        <f>IF(E30&gt;F30,"Local",IF(E30=F30,"Empate","Visitante"))</f>
        <v/>
      </c>
      <c r="H30" s="1">
        <f>E30-F30</f>
        <v/>
      </c>
    </row>
    <row r="31">
      <c r="A31" s="34" t="n">
        <v>30</v>
      </c>
      <c r="B31" s="34" t="inlineStr">
        <is>
          <t>E</t>
        </is>
      </c>
      <c r="C31" s="34" t="inlineStr">
        <is>
          <t>Ecuador</t>
        </is>
      </c>
      <c r="D31" s="34" t="inlineStr">
        <is>
          <t>Alemania</t>
        </is>
      </c>
      <c r="E31" s="3" t="n">
        <v>1</v>
      </c>
      <c r="F31" s="3" t="n">
        <v>2</v>
      </c>
      <c r="G31" s="34">
        <f>IF(E31&gt;F31,"Local",IF(E31=F31,"Empate","Visitante"))</f>
        <v/>
      </c>
      <c r="H31" s="1">
        <f>E31-F31</f>
        <v/>
      </c>
      <c r="J31" s="6" t="inlineStr">
        <is>
          <t>Grupo</t>
        </is>
      </c>
      <c r="K31" s="7" t="inlineStr">
        <is>
          <t>Posición</t>
        </is>
      </c>
      <c r="L31" s="34" t="inlineStr">
        <is>
          <t>Equipo</t>
        </is>
      </c>
      <c r="M31" s="34" t="inlineStr">
        <is>
          <t>Puntos</t>
        </is>
      </c>
      <c r="N31" s="34" t="inlineStr">
        <is>
          <t>Diferencia</t>
        </is>
      </c>
      <c r="O31" s="34" t="inlineStr">
        <is>
          <t>GF</t>
        </is>
      </c>
      <c r="P31" s="5" t="inlineStr">
        <is>
          <t>GC</t>
        </is>
      </c>
      <c r="Q31" s="5" t="inlineStr">
        <is>
          <t>Victorias</t>
        </is>
      </c>
      <c r="R31" s="5" t="inlineStr">
        <is>
          <t>Empates</t>
        </is>
      </c>
      <c r="S31" s="7" t="inlineStr">
        <is>
          <t>Derrotas</t>
        </is>
      </c>
      <c r="T31" s="5" t="inlineStr">
        <is>
          <t>Victorias_L</t>
        </is>
      </c>
      <c r="U31" s="5" t="inlineStr">
        <is>
          <t>Victorias_V</t>
        </is>
      </c>
      <c r="V31" s="5" t="inlineStr">
        <is>
          <t>Empates_L</t>
        </is>
      </c>
      <c r="W31" s="5" t="inlineStr">
        <is>
          <t>Empates_V</t>
        </is>
      </c>
      <c r="X31" s="5" t="inlineStr">
        <is>
          <t>Derrotas_L</t>
        </is>
      </c>
      <c r="Y31" s="5" t="inlineStr">
        <is>
          <t>Derrotas_V</t>
        </is>
      </c>
      <c r="Z31" s="5" t="inlineStr">
        <is>
          <t>GF_L</t>
        </is>
      </c>
      <c r="AA31" s="5" t="inlineStr">
        <is>
          <t>GF_V</t>
        </is>
      </c>
      <c r="AB31" s="5" t="inlineStr">
        <is>
          <t>GC_L</t>
        </is>
      </c>
      <c r="AC31" s="5" t="inlineStr">
        <is>
          <t>GC_V</t>
        </is>
      </c>
    </row>
    <row r="32">
      <c r="A32" s="34" t="n">
        <v>31</v>
      </c>
      <c r="B32" s="34" t="inlineStr">
        <is>
          <t>F</t>
        </is>
      </c>
      <c r="C32" s="34" t="inlineStr">
        <is>
          <t>Países Bajos</t>
        </is>
      </c>
      <c r="D32" s="34" t="inlineStr">
        <is>
          <t>Japón</t>
        </is>
      </c>
      <c r="E32" s="3" t="n">
        <v>1</v>
      </c>
      <c r="F32" s="3" t="n">
        <v>2</v>
      </c>
      <c r="G32" s="34">
        <f>IF(E32&gt;F32,"Local",IF(E32=F32,"Empate","Visitante"))</f>
        <v/>
      </c>
      <c r="H32" s="1">
        <f>E32-F32</f>
        <v/>
      </c>
      <c r="J32" s="34" t="inlineStr">
        <is>
          <t>F</t>
        </is>
      </c>
      <c r="K32" s="8" t="n">
        <v>1</v>
      </c>
      <c r="L32" s="34" t="inlineStr">
        <is>
          <t>Japón</t>
        </is>
      </c>
      <c r="M32" s="3">
        <f>(Q32*3)+R32</f>
        <v/>
      </c>
      <c r="N32" s="3">
        <f>O32-P32</f>
        <v/>
      </c>
      <c r="O32" s="3">
        <f>Z32+AA32</f>
        <v/>
      </c>
      <c r="P32" s="3">
        <f>AB32+AC32</f>
        <v/>
      </c>
      <c r="Q32" s="34">
        <f>T32+U32</f>
        <v/>
      </c>
      <c r="R32" s="34">
        <f>V32+W32</f>
        <v/>
      </c>
      <c r="S32" s="9">
        <f>X32+Y32</f>
        <v/>
      </c>
      <c r="T32" s="34">
        <f>COUNTIFS(C:C,L32,G:G,"Local")</f>
        <v/>
      </c>
      <c r="U32" s="34">
        <f>COUNTIFS(D:D,L32,G:G,"Visitante")</f>
        <v/>
      </c>
      <c r="V32" s="34">
        <f>COUNTIFS(C:C,L32,G:G,"Empate")</f>
        <v/>
      </c>
      <c r="W32" s="34">
        <f>COUNTIFS(D:D,L32,G:G,"Empate")</f>
        <v/>
      </c>
      <c r="X32" s="34">
        <f>COUNTIFS(C:C,L32,G:G,"Visitante")</f>
        <v/>
      </c>
      <c r="Y32" s="34">
        <f>COUNTIFS(D:D,L32,G:G,"Local")</f>
        <v/>
      </c>
      <c r="Z32" s="34">
        <f>SUMIF(C:C,L32,E:E)</f>
        <v/>
      </c>
      <c r="AA32" s="34">
        <f>SUMIF(D:D,L32,F:F)</f>
        <v/>
      </c>
      <c r="AB32" s="34">
        <f>SUMIF(C:C,L32,F:F)</f>
        <v/>
      </c>
      <c r="AC32" s="34">
        <f>SUMIF(D:D,L32,E:E)</f>
        <v/>
      </c>
    </row>
    <row r="33">
      <c r="A33" s="34" t="n">
        <v>32</v>
      </c>
      <c r="B33" s="34" t="inlineStr">
        <is>
          <t>F</t>
        </is>
      </c>
      <c r="C33" s="34" t="inlineStr">
        <is>
          <t>Suecia</t>
        </is>
      </c>
      <c r="D33" s="34" t="inlineStr">
        <is>
          <t>Túnez</t>
        </is>
      </c>
      <c r="E33" s="3" t="n">
        <v>1</v>
      </c>
      <c r="F33" s="3" t="n">
        <v>0</v>
      </c>
      <c r="G33" s="34">
        <f>IF(E33&gt;F33,"Local",IF(E33=F33,"Empate","Visitante"))</f>
        <v/>
      </c>
      <c r="H33" s="1">
        <f>E33-F33</f>
        <v/>
      </c>
      <c r="J33" s="32" t="n"/>
      <c r="K33" s="8" t="n">
        <v>2</v>
      </c>
      <c r="L33" s="34" t="inlineStr">
        <is>
          <t>Países Bajos</t>
        </is>
      </c>
      <c r="M33" s="3">
        <f>(Q33*3)+R33</f>
        <v/>
      </c>
      <c r="N33" s="3">
        <f>O33-P33</f>
        <v/>
      </c>
      <c r="O33" s="3">
        <f>Z33+AA33</f>
        <v/>
      </c>
      <c r="P33" s="3">
        <f>AB33+AC33</f>
        <v/>
      </c>
      <c r="Q33" s="34">
        <f>T33+U33</f>
        <v/>
      </c>
      <c r="R33" s="34">
        <f>V33+W33</f>
        <v/>
      </c>
      <c r="S33" s="9">
        <f>X33+Y33</f>
        <v/>
      </c>
      <c r="T33" s="34">
        <f>COUNTIFS(C:C,L33,G:G,"Local")</f>
        <v/>
      </c>
      <c r="U33" s="34">
        <f>COUNTIFS(D:D,L33,G:G,"Visitante")</f>
        <v/>
      </c>
      <c r="V33" s="34">
        <f>COUNTIFS(C:C,L33,G:G,"Empate")</f>
        <v/>
      </c>
      <c r="W33" s="34">
        <f>COUNTIFS(D:D,L33,G:G,"Empate")</f>
        <v/>
      </c>
      <c r="X33" s="34">
        <f>COUNTIFS(C:C,L33,G:G,"Visitante")</f>
        <v/>
      </c>
      <c r="Y33" s="34">
        <f>COUNTIFS(D:D,L33,G:G,"Local")</f>
        <v/>
      </c>
      <c r="Z33" s="34">
        <f>SUMIF(C:C,L33,E:E)</f>
        <v/>
      </c>
      <c r="AA33" s="34">
        <f>SUMIF(D:D,L33,F:F)</f>
        <v/>
      </c>
      <c r="AB33" s="34">
        <f>SUMIF(C:C,L33,F:F)</f>
        <v/>
      </c>
      <c r="AC33" s="34">
        <f>SUMIF(D:D,L33,E:E)</f>
        <v/>
      </c>
    </row>
    <row r="34">
      <c r="A34" s="34" t="n">
        <v>33</v>
      </c>
      <c r="B34" s="34" t="inlineStr">
        <is>
          <t>F</t>
        </is>
      </c>
      <c r="C34" s="34" t="inlineStr">
        <is>
          <t>Países Bajos</t>
        </is>
      </c>
      <c r="D34" s="34" t="inlineStr">
        <is>
          <t>Suecia</t>
        </is>
      </c>
      <c r="E34" s="3" t="n">
        <v>1</v>
      </c>
      <c r="F34" s="3" t="n">
        <v>1</v>
      </c>
      <c r="G34" s="34">
        <f>IF(E34&gt;F34,"Local",IF(E34=F34,"Empate","Visitante"))</f>
        <v/>
      </c>
      <c r="H34" s="1">
        <f>E34-F34</f>
        <v/>
      </c>
      <c r="J34" s="32" t="n"/>
      <c r="K34" s="8" t="n">
        <v>3</v>
      </c>
      <c r="L34" s="34" t="inlineStr">
        <is>
          <t>Suecia</t>
        </is>
      </c>
      <c r="M34" s="3">
        <f>(Q34*3)+R34</f>
        <v/>
      </c>
      <c r="N34" s="3">
        <f>O34-P34</f>
        <v/>
      </c>
      <c r="O34" s="3">
        <f>Z34+AA34</f>
        <v/>
      </c>
      <c r="P34" s="3">
        <f>AB34+AC34</f>
        <v/>
      </c>
      <c r="Q34" s="34">
        <f>T34+U34</f>
        <v/>
      </c>
      <c r="R34" s="34">
        <f>V34+W34</f>
        <v/>
      </c>
      <c r="S34" s="9">
        <f>X34+Y34</f>
        <v/>
      </c>
      <c r="T34" s="34">
        <f>COUNTIFS(C:C,L34,G:G,"Local")</f>
        <v/>
      </c>
      <c r="U34" s="34">
        <f>COUNTIFS(D:D,L34,G:G,"Visitante")</f>
        <v/>
      </c>
      <c r="V34" s="34">
        <f>COUNTIFS(C:C,L34,G:G,"Empate")</f>
        <v/>
      </c>
      <c r="W34" s="34">
        <f>COUNTIFS(D:D,L34,G:G,"Empate")</f>
        <v/>
      </c>
      <c r="X34" s="34">
        <f>COUNTIFS(C:C,L34,G:G,"Visitante")</f>
        <v/>
      </c>
      <c r="Y34" s="34">
        <f>COUNTIFS(D:D,L34,G:G,"Local")</f>
        <v/>
      </c>
      <c r="Z34" s="34">
        <f>SUMIF(C:C,L34,E:E)</f>
        <v/>
      </c>
      <c r="AA34" s="34">
        <f>SUMIF(D:D,L34,F:F)</f>
        <v/>
      </c>
      <c r="AB34" s="34">
        <f>SUMIF(C:C,L34,F:F)</f>
        <v/>
      </c>
      <c r="AC34" s="34">
        <f>SUMIF(D:D,L34,E:E)</f>
        <v/>
      </c>
    </row>
    <row r="35">
      <c r="A35" s="34" t="n">
        <v>34</v>
      </c>
      <c r="B35" s="34" t="inlineStr">
        <is>
          <t>F</t>
        </is>
      </c>
      <c r="C35" s="34" t="inlineStr">
        <is>
          <t>Túnez</t>
        </is>
      </c>
      <c r="D35" s="34" t="inlineStr">
        <is>
          <t>Japón</t>
        </is>
      </c>
      <c r="E35" s="3" t="n">
        <v>0</v>
      </c>
      <c r="F35" s="3" t="n">
        <v>2</v>
      </c>
      <c r="G35" s="34">
        <f>IF(E35&gt;F35,"Local",IF(E35=F35,"Empate","Visitante"))</f>
        <v/>
      </c>
      <c r="H35" s="1">
        <f>E35-F35</f>
        <v/>
      </c>
      <c r="J35" s="33" t="n"/>
      <c r="K35" s="10" t="n">
        <v>4</v>
      </c>
      <c r="L35" s="4" t="inlineStr">
        <is>
          <t>Túnez</t>
        </is>
      </c>
      <c r="M35" s="11">
        <f>(Q35*3)+R35</f>
        <v/>
      </c>
      <c r="N35" s="11">
        <f>O35-P35</f>
        <v/>
      </c>
      <c r="O35" s="11">
        <f>Z35+AA35</f>
        <v/>
      </c>
      <c r="P35" s="11">
        <f>AB35+AC35</f>
        <v/>
      </c>
      <c r="Q35" s="4">
        <f>T35+U35</f>
        <v/>
      </c>
      <c r="R35" s="4">
        <f>V35+W35</f>
        <v/>
      </c>
      <c r="S35" s="12">
        <f>X35+Y35</f>
        <v/>
      </c>
      <c r="T35" s="34">
        <f>COUNTIFS(C:C,L35,G:G,"Local")</f>
        <v/>
      </c>
      <c r="U35" s="34">
        <f>COUNTIFS(D:D,L35,G:G,"Visitante")</f>
        <v/>
      </c>
      <c r="V35" s="34">
        <f>COUNTIFS(C:C,L35,G:G,"Empate")</f>
        <v/>
      </c>
      <c r="W35" s="34">
        <f>COUNTIFS(D:D,L35,G:G,"Empate")</f>
        <v/>
      </c>
      <c r="X35" s="34">
        <f>COUNTIFS(C:C,L35,G:G,"Visitante")</f>
        <v/>
      </c>
      <c r="Y35" s="34">
        <f>COUNTIFS(D:D,L35,G:G,"Local")</f>
        <v/>
      </c>
      <c r="Z35" s="34">
        <f>SUMIF(C:C,L35,E:E)</f>
        <v/>
      </c>
      <c r="AA35" s="34">
        <f>SUMIF(D:D,L35,F:F)</f>
        <v/>
      </c>
      <c r="AB35" s="34">
        <f>SUMIF(C:C,L35,F:F)</f>
        <v/>
      </c>
      <c r="AC35" s="34">
        <f>SUMIF(D:D,L35,E:E)</f>
        <v/>
      </c>
    </row>
    <row r="36">
      <c r="A36" s="34" t="n">
        <v>35</v>
      </c>
      <c r="B36" s="34" t="inlineStr">
        <is>
          <t>F</t>
        </is>
      </c>
      <c r="C36" s="34" t="inlineStr">
        <is>
          <t>Japón</t>
        </is>
      </c>
      <c r="D36" s="34" t="inlineStr">
        <is>
          <t>Suecia</t>
        </is>
      </c>
      <c r="E36" s="3" t="n">
        <v>2</v>
      </c>
      <c r="F36" s="3" t="n">
        <v>1</v>
      </c>
      <c r="G36" s="34">
        <f>IF(E36&gt;F36,"Local",IF(E36=F36,"Empate","Visitante"))</f>
        <v/>
      </c>
      <c r="H36" s="1">
        <f>E36-F36</f>
        <v/>
      </c>
    </row>
    <row r="37">
      <c r="A37" s="34" t="n">
        <v>36</v>
      </c>
      <c r="B37" s="34" t="inlineStr">
        <is>
          <t>F</t>
        </is>
      </c>
      <c r="C37" s="34" t="inlineStr">
        <is>
          <t>Túnez</t>
        </is>
      </c>
      <c r="D37" s="34" t="inlineStr">
        <is>
          <t>Países Bajos</t>
        </is>
      </c>
      <c r="E37" s="3" t="n">
        <v>0</v>
      </c>
      <c r="F37" s="3" t="n">
        <v>2</v>
      </c>
      <c r="G37" s="34">
        <f>IF(E37&gt;F37,"Local",IF(E37=F37,"Empate","Visitante"))</f>
        <v/>
      </c>
      <c r="H37" s="1">
        <f>E37-F37</f>
        <v/>
      </c>
      <c r="J37" s="6" t="inlineStr">
        <is>
          <t>Grupo</t>
        </is>
      </c>
      <c r="K37" s="7" t="inlineStr">
        <is>
          <t>Posición</t>
        </is>
      </c>
      <c r="L37" s="34" t="inlineStr">
        <is>
          <t>Equipo</t>
        </is>
      </c>
      <c r="M37" s="34" t="inlineStr">
        <is>
          <t>Puntos</t>
        </is>
      </c>
      <c r="N37" s="34" t="inlineStr">
        <is>
          <t>Diferencia</t>
        </is>
      </c>
      <c r="O37" s="34" t="inlineStr">
        <is>
          <t>GF</t>
        </is>
      </c>
      <c r="P37" s="5" t="inlineStr">
        <is>
          <t>GC</t>
        </is>
      </c>
      <c r="Q37" s="5" t="inlineStr">
        <is>
          <t>Victorias</t>
        </is>
      </c>
      <c r="R37" s="5" t="inlineStr">
        <is>
          <t>Empates</t>
        </is>
      </c>
      <c r="S37" s="7" t="inlineStr">
        <is>
          <t>Derrotas</t>
        </is>
      </c>
      <c r="T37" s="5" t="inlineStr">
        <is>
          <t>Victorias_L</t>
        </is>
      </c>
      <c r="U37" s="5" t="inlineStr">
        <is>
          <t>Victorias_V</t>
        </is>
      </c>
      <c r="V37" s="5" t="inlineStr">
        <is>
          <t>Empates_L</t>
        </is>
      </c>
      <c r="W37" s="5" t="inlineStr">
        <is>
          <t>Empates_V</t>
        </is>
      </c>
      <c r="X37" s="5" t="inlineStr">
        <is>
          <t>Derrotas_L</t>
        </is>
      </c>
      <c r="Y37" s="5" t="inlineStr">
        <is>
          <t>Derrotas_V</t>
        </is>
      </c>
      <c r="Z37" s="5" t="inlineStr">
        <is>
          <t>GF_L</t>
        </is>
      </c>
      <c r="AA37" s="5" t="inlineStr">
        <is>
          <t>GF_V</t>
        </is>
      </c>
      <c r="AB37" s="5" t="inlineStr">
        <is>
          <t>GC_L</t>
        </is>
      </c>
      <c r="AC37" s="5" t="inlineStr">
        <is>
          <t>GC_V</t>
        </is>
      </c>
    </row>
    <row r="38">
      <c r="A38" s="34" t="n">
        <v>37</v>
      </c>
      <c r="B38" s="34" t="inlineStr">
        <is>
          <t>G</t>
        </is>
      </c>
      <c r="C38" s="34" t="inlineStr">
        <is>
          <t>Bélgica</t>
        </is>
      </c>
      <c r="D38" s="34" t="inlineStr">
        <is>
          <t>Egipto</t>
        </is>
      </c>
      <c r="E38" s="3" t="n">
        <v>2</v>
      </c>
      <c r="F38" s="3" t="n">
        <v>1</v>
      </c>
      <c r="G38" s="34">
        <f>IF(E38&gt;F38,"Local",IF(E38=F38,"Empate","Visitante"))</f>
        <v/>
      </c>
      <c r="H38" s="1">
        <f>E38-F38</f>
        <v/>
      </c>
      <c r="J38" s="34" t="inlineStr">
        <is>
          <t>G</t>
        </is>
      </c>
      <c r="K38" s="8" t="n">
        <v>1</v>
      </c>
      <c r="L38" s="34" t="inlineStr">
        <is>
          <t>Bélgica</t>
        </is>
      </c>
      <c r="M38" s="3">
        <f>(Q38*3)+R38</f>
        <v/>
      </c>
      <c r="N38" s="3">
        <f>O38-P38</f>
        <v/>
      </c>
      <c r="O38" s="3">
        <f>Z38+AA38</f>
        <v/>
      </c>
      <c r="P38" s="3">
        <f>AB38+AC38</f>
        <v/>
      </c>
      <c r="Q38" s="34">
        <f>T38+U38</f>
        <v/>
      </c>
      <c r="R38" s="34">
        <f>V38+W38</f>
        <v/>
      </c>
      <c r="S38" s="9">
        <f>X38+Y38</f>
        <v/>
      </c>
      <c r="T38" s="34">
        <f>COUNTIFS(C:C,L38,G:G,"Local")</f>
        <v/>
      </c>
      <c r="U38" s="34">
        <f>COUNTIFS(D:D,L38,G:G,"Visitante")</f>
        <v/>
      </c>
      <c r="V38" s="34">
        <f>COUNTIFS(C:C,L38,G:G,"Empate")</f>
        <v/>
      </c>
      <c r="W38" s="34">
        <f>COUNTIFS(D:D,L38,G:G,"Empate")</f>
        <v/>
      </c>
      <c r="X38" s="34">
        <f>COUNTIFS(C:C,L38,G:G,"Visitante")</f>
        <v/>
      </c>
      <c r="Y38" s="34">
        <f>COUNTIFS(D:D,L38,G:G,"Local")</f>
        <v/>
      </c>
      <c r="Z38" s="34">
        <f>SUMIF(C:C,L38,E:E)</f>
        <v/>
      </c>
      <c r="AA38" s="34">
        <f>SUMIF(D:D,L38,F:F)</f>
        <v/>
      </c>
      <c r="AB38" s="34">
        <f>SUMIF(C:C,L38,F:F)</f>
        <v/>
      </c>
      <c r="AC38" s="34">
        <f>SUMIF(D:D,L38,E:E)</f>
        <v/>
      </c>
    </row>
    <row r="39">
      <c r="A39" s="34" t="n">
        <v>38</v>
      </c>
      <c r="B39" s="34" t="inlineStr">
        <is>
          <t>G</t>
        </is>
      </c>
      <c r="C39" s="34" t="inlineStr">
        <is>
          <t>Irán</t>
        </is>
      </c>
      <c r="D39" s="34" t="inlineStr">
        <is>
          <t>Nueva Zelanda</t>
        </is>
      </c>
      <c r="E39" s="3" t="n">
        <v>2</v>
      </c>
      <c r="F39" s="3" t="n">
        <v>0</v>
      </c>
      <c r="G39" s="34">
        <f>IF(E39&gt;F39,"Local",IF(E39=F39,"Empate","Visitante"))</f>
        <v/>
      </c>
      <c r="H39" s="1">
        <f>E39-F39</f>
        <v/>
      </c>
      <c r="J39" s="32" t="n"/>
      <c r="K39" s="8" t="n">
        <v>2</v>
      </c>
      <c r="L39" s="34" t="inlineStr">
        <is>
          <t>Egipto</t>
        </is>
      </c>
      <c r="M39" s="3">
        <f>(Q39*3)+R39</f>
        <v/>
      </c>
      <c r="N39" s="3">
        <f>O39-P39</f>
        <v/>
      </c>
      <c r="O39" s="3">
        <f>Z39+AA39</f>
        <v/>
      </c>
      <c r="P39" s="3">
        <f>AB39+AC39</f>
        <v/>
      </c>
      <c r="Q39" s="34">
        <f>T39+U39</f>
        <v/>
      </c>
      <c r="R39" s="34">
        <f>V39+W39</f>
        <v/>
      </c>
      <c r="S39" s="9">
        <f>X39+Y39</f>
        <v/>
      </c>
      <c r="T39" s="34">
        <f>COUNTIFS(C:C,L39,G:G,"Local")</f>
        <v/>
      </c>
      <c r="U39" s="34">
        <f>COUNTIFS(D:D,L39,G:G,"Visitante")</f>
        <v/>
      </c>
      <c r="V39" s="34">
        <f>COUNTIFS(C:C,L39,G:G,"Empate")</f>
        <v/>
      </c>
      <c r="W39" s="34">
        <f>COUNTIFS(D:D,L39,G:G,"Empate")</f>
        <v/>
      </c>
      <c r="X39" s="34">
        <f>COUNTIFS(C:C,L39,G:G,"Visitante")</f>
        <v/>
      </c>
      <c r="Y39" s="34">
        <f>COUNTIFS(D:D,L39,G:G,"Local")</f>
        <v/>
      </c>
      <c r="Z39" s="34">
        <f>SUMIF(C:C,L39,E:E)</f>
        <v/>
      </c>
      <c r="AA39" s="34">
        <f>SUMIF(D:D,L39,F:F)</f>
        <v/>
      </c>
      <c r="AB39" s="34">
        <f>SUMIF(C:C,L39,F:F)</f>
        <v/>
      </c>
      <c r="AC39" s="34">
        <f>SUMIF(D:D,L39,E:E)</f>
        <v/>
      </c>
    </row>
    <row r="40">
      <c r="A40" s="34" t="n">
        <v>39</v>
      </c>
      <c r="B40" s="34" t="inlineStr">
        <is>
          <t>G</t>
        </is>
      </c>
      <c r="C40" s="34" t="inlineStr">
        <is>
          <t>Bélgica</t>
        </is>
      </c>
      <c r="D40" s="34" t="inlineStr">
        <is>
          <t>Irán</t>
        </is>
      </c>
      <c r="E40" s="3" t="n">
        <v>2</v>
      </c>
      <c r="F40" s="3" t="n">
        <v>1</v>
      </c>
      <c r="G40" s="34">
        <f>IF(E40&gt;F40,"Local",IF(E40=F40,"Empate","Visitante"))</f>
        <v/>
      </c>
      <c r="H40" s="1">
        <f>E40-F40</f>
        <v/>
      </c>
      <c r="J40" s="32" t="n"/>
      <c r="K40" s="8" t="n">
        <v>3</v>
      </c>
      <c r="L40" s="34" t="inlineStr">
        <is>
          <t>Irán</t>
        </is>
      </c>
      <c r="M40" s="3">
        <f>(Q40*3)+R40</f>
        <v/>
      </c>
      <c r="N40" s="3">
        <f>O40-P40</f>
        <v/>
      </c>
      <c r="O40" s="3">
        <f>Z40+AA40</f>
        <v/>
      </c>
      <c r="P40" s="3">
        <f>AB40+AC40</f>
        <v/>
      </c>
      <c r="Q40" s="34">
        <f>T40+U40</f>
        <v/>
      </c>
      <c r="R40" s="34">
        <f>V40+W40</f>
        <v/>
      </c>
      <c r="S40" s="9">
        <f>X40+Y40</f>
        <v/>
      </c>
      <c r="T40" s="34">
        <f>COUNTIFS(C:C,L40,G:G,"Local")</f>
        <v/>
      </c>
      <c r="U40" s="34">
        <f>COUNTIFS(D:D,L40,G:G,"Visitante")</f>
        <v/>
      </c>
      <c r="V40" s="34">
        <f>COUNTIFS(C:C,L40,G:G,"Empate")</f>
        <v/>
      </c>
      <c r="W40" s="34">
        <f>COUNTIFS(D:D,L40,G:G,"Empate")</f>
        <v/>
      </c>
      <c r="X40" s="34">
        <f>COUNTIFS(C:C,L40,G:G,"Visitante")</f>
        <v/>
      </c>
      <c r="Y40" s="34">
        <f>COUNTIFS(D:D,L40,G:G,"Local")</f>
        <v/>
      </c>
      <c r="Z40" s="34">
        <f>SUMIF(C:C,L40,E:E)</f>
        <v/>
      </c>
      <c r="AA40" s="34">
        <f>SUMIF(D:D,L40,F:F)</f>
        <v/>
      </c>
      <c r="AB40" s="34">
        <f>SUMIF(C:C,L40,F:F)</f>
        <v/>
      </c>
      <c r="AC40" s="34">
        <f>SUMIF(D:D,L40,E:E)</f>
        <v/>
      </c>
    </row>
    <row r="41">
      <c r="A41" s="34" t="n">
        <v>40</v>
      </c>
      <c r="B41" s="34" t="inlineStr">
        <is>
          <t>G</t>
        </is>
      </c>
      <c r="C41" s="34" t="inlineStr">
        <is>
          <t>Nueva Zelanda</t>
        </is>
      </c>
      <c r="D41" s="34" t="inlineStr">
        <is>
          <t>Egipto</t>
        </is>
      </c>
      <c r="E41" s="3" t="n">
        <v>0</v>
      </c>
      <c r="F41" s="3" t="n">
        <v>1</v>
      </c>
      <c r="G41" s="34">
        <f>IF(E41&gt;F41,"Local",IF(E41=F41,"Empate","Visitante"))</f>
        <v/>
      </c>
      <c r="H41" s="1">
        <f>E41-F41</f>
        <v/>
      </c>
      <c r="J41" s="33" t="n"/>
      <c r="K41" s="10" t="n">
        <v>4</v>
      </c>
      <c r="L41" s="4" t="inlineStr">
        <is>
          <t>Nueva Zelanda</t>
        </is>
      </c>
      <c r="M41" s="11">
        <f>(Q41*3)+R41</f>
        <v/>
      </c>
      <c r="N41" s="11">
        <f>O41-P41</f>
        <v/>
      </c>
      <c r="O41" s="11">
        <f>Z41+AA41</f>
        <v/>
      </c>
      <c r="P41" s="11">
        <f>AB41+AC41</f>
        <v/>
      </c>
      <c r="Q41" s="4">
        <f>T41+U41</f>
        <v/>
      </c>
      <c r="R41" s="4">
        <f>V41+W41</f>
        <v/>
      </c>
      <c r="S41" s="12">
        <f>X41+Y41</f>
        <v/>
      </c>
      <c r="T41" s="34">
        <f>COUNTIFS(C:C,L41,G:G,"Local")</f>
        <v/>
      </c>
      <c r="U41" s="34">
        <f>COUNTIFS(D:D,L41,G:G,"Visitante")</f>
        <v/>
      </c>
      <c r="V41" s="34">
        <f>COUNTIFS(C:C,L41,G:G,"Empate")</f>
        <v/>
      </c>
      <c r="W41" s="34">
        <f>COUNTIFS(D:D,L41,G:G,"Empate")</f>
        <v/>
      </c>
      <c r="X41" s="34">
        <f>COUNTIFS(C:C,L41,G:G,"Visitante")</f>
        <v/>
      </c>
      <c r="Y41" s="34">
        <f>COUNTIFS(D:D,L41,G:G,"Local")</f>
        <v/>
      </c>
      <c r="Z41" s="34">
        <f>SUMIF(C:C,L41,E:E)</f>
        <v/>
      </c>
      <c r="AA41" s="34">
        <f>SUMIF(D:D,L41,F:F)</f>
        <v/>
      </c>
      <c r="AB41" s="34">
        <f>SUMIF(C:C,L41,F:F)</f>
        <v/>
      </c>
      <c r="AC41" s="34">
        <f>SUMIF(D:D,L41,E:E)</f>
        <v/>
      </c>
    </row>
    <row r="42">
      <c r="A42" s="34" t="n">
        <v>41</v>
      </c>
      <c r="B42" s="34" t="inlineStr">
        <is>
          <t>G</t>
        </is>
      </c>
      <c r="C42" s="34" t="inlineStr">
        <is>
          <t>Egipto</t>
        </is>
      </c>
      <c r="D42" s="34" t="inlineStr">
        <is>
          <t>Irán</t>
        </is>
      </c>
      <c r="E42" s="3" t="n">
        <v>1</v>
      </c>
      <c r="F42" s="3" t="n">
        <v>0</v>
      </c>
      <c r="G42" s="34">
        <f>IF(E42&gt;F42,"Local",IF(E42=F42,"Empate","Visitante"))</f>
        <v/>
      </c>
      <c r="H42" s="1">
        <f>E42-F42</f>
        <v/>
      </c>
    </row>
    <row r="43">
      <c r="A43" s="34" t="n">
        <v>42</v>
      </c>
      <c r="B43" s="34" t="inlineStr">
        <is>
          <t>G</t>
        </is>
      </c>
      <c r="C43" s="34" t="inlineStr">
        <is>
          <t>Nueva Zelanda</t>
        </is>
      </c>
      <c r="D43" s="34" t="inlineStr">
        <is>
          <t>Bélgica</t>
        </is>
      </c>
      <c r="E43" s="3" t="n">
        <v>0</v>
      </c>
      <c r="F43" s="3" t="n">
        <v>3</v>
      </c>
      <c r="G43" s="34">
        <f>IF(E43&gt;F43,"Local",IF(E43=F43,"Empate","Visitante"))</f>
        <v/>
      </c>
      <c r="H43" s="1">
        <f>E43-F43</f>
        <v/>
      </c>
      <c r="J43" s="6" t="inlineStr">
        <is>
          <t>Grupo</t>
        </is>
      </c>
      <c r="K43" s="7" t="inlineStr">
        <is>
          <t>Posición</t>
        </is>
      </c>
      <c r="L43" s="34" t="inlineStr">
        <is>
          <t>Equipo</t>
        </is>
      </c>
      <c r="M43" s="34" t="inlineStr">
        <is>
          <t>Puntos</t>
        </is>
      </c>
      <c r="N43" s="34" t="inlineStr">
        <is>
          <t>Diferencia</t>
        </is>
      </c>
      <c r="O43" s="34" t="inlineStr">
        <is>
          <t>GF</t>
        </is>
      </c>
      <c r="P43" s="5" t="inlineStr">
        <is>
          <t>GC</t>
        </is>
      </c>
      <c r="Q43" s="5" t="inlineStr">
        <is>
          <t>Victorias</t>
        </is>
      </c>
      <c r="R43" s="5" t="inlineStr">
        <is>
          <t>Empates</t>
        </is>
      </c>
      <c r="S43" s="7" t="inlineStr">
        <is>
          <t>Derrotas</t>
        </is>
      </c>
      <c r="T43" s="5" t="inlineStr">
        <is>
          <t>Victorias_L</t>
        </is>
      </c>
      <c r="U43" s="5" t="inlineStr">
        <is>
          <t>Victorias_V</t>
        </is>
      </c>
      <c r="V43" s="5" t="inlineStr">
        <is>
          <t>Empates_L</t>
        </is>
      </c>
      <c r="W43" s="5" t="inlineStr">
        <is>
          <t>Empates_V</t>
        </is>
      </c>
      <c r="X43" s="5" t="inlineStr">
        <is>
          <t>Derrotas_L</t>
        </is>
      </c>
      <c r="Y43" s="5" t="inlineStr">
        <is>
          <t>Derrotas_V</t>
        </is>
      </c>
      <c r="Z43" s="5" t="inlineStr">
        <is>
          <t>GF_L</t>
        </is>
      </c>
      <c r="AA43" s="5" t="inlineStr">
        <is>
          <t>GF_V</t>
        </is>
      </c>
      <c r="AB43" s="5" t="inlineStr">
        <is>
          <t>GC_L</t>
        </is>
      </c>
      <c r="AC43" s="5" t="inlineStr">
        <is>
          <t>GC_V</t>
        </is>
      </c>
    </row>
    <row r="44">
      <c r="A44" s="34" t="n">
        <v>43</v>
      </c>
      <c r="B44" s="34" t="inlineStr">
        <is>
          <t>H</t>
        </is>
      </c>
      <c r="C44" s="34" t="inlineStr">
        <is>
          <t>España</t>
        </is>
      </c>
      <c r="D44" s="34" t="inlineStr">
        <is>
          <t>Cabo Verde</t>
        </is>
      </c>
      <c r="E44" s="3" t="n">
        <v>3</v>
      </c>
      <c r="F44" s="3" t="n">
        <v>0</v>
      </c>
      <c r="G44" s="34">
        <f>IF(E44&gt;F44,"Local",IF(E44=F44,"Empate","Visitante"))</f>
        <v/>
      </c>
      <c r="H44" s="1">
        <f>E44-F44</f>
        <v/>
      </c>
      <c r="J44" s="34" t="inlineStr">
        <is>
          <t>H</t>
        </is>
      </c>
      <c r="K44" s="8" t="n">
        <v>1</v>
      </c>
      <c r="L44" s="34" t="inlineStr">
        <is>
          <t>España</t>
        </is>
      </c>
      <c r="M44" s="3">
        <f>(Q44*3)+R44</f>
        <v/>
      </c>
      <c r="N44" s="3">
        <f>O44-P44</f>
        <v/>
      </c>
      <c r="O44" s="3">
        <f>Z44+AA44</f>
        <v/>
      </c>
      <c r="P44" s="3">
        <f>AB44+AC44</f>
        <v/>
      </c>
      <c r="Q44" s="34">
        <f>T44+U44</f>
        <v/>
      </c>
      <c r="R44" s="34">
        <f>V44+W44</f>
        <v/>
      </c>
      <c r="S44" s="9">
        <f>X44+Y44</f>
        <v/>
      </c>
      <c r="T44" s="34">
        <f>COUNTIFS(C:C,L44,G:G,"Local")</f>
        <v/>
      </c>
      <c r="U44" s="34">
        <f>COUNTIFS(D:D,L44,G:G,"Visitante")</f>
        <v/>
      </c>
      <c r="V44" s="34">
        <f>COUNTIFS(C:C,L44,G:G,"Empate")</f>
        <v/>
      </c>
      <c r="W44" s="34">
        <f>COUNTIFS(D:D,L44,G:G,"Empate")</f>
        <v/>
      </c>
      <c r="X44" s="34">
        <f>COUNTIFS(C:C,L44,G:G,"Visitante")</f>
        <v/>
      </c>
      <c r="Y44" s="34">
        <f>COUNTIFS(D:D,L44,G:G,"Local")</f>
        <v/>
      </c>
      <c r="Z44" s="34">
        <f>SUMIF(C:C,L44,E:E)</f>
        <v/>
      </c>
      <c r="AA44" s="34">
        <f>SUMIF(D:D,L44,F:F)</f>
        <v/>
      </c>
      <c r="AB44" s="34">
        <f>SUMIF(C:C,L44,F:F)</f>
        <v/>
      </c>
      <c r="AC44" s="34">
        <f>SUMIF(D:D,L44,E:E)</f>
        <v/>
      </c>
    </row>
    <row r="45">
      <c r="A45" s="34" t="n">
        <v>44</v>
      </c>
      <c r="B45" s="34" t="inlineStr">
        <is>
          <t>H</t>
        </is>
      </c>
      <c r="C45" s="34" t="inlineStr">
        <is>
          <t>Arabia Saudí</t>
        </is>
      </c>
      <c r="D45" s="34" t="inlineStr">
        <is>
          <t>Uruguay</t>
        </is>
      </c>
      <c r="E45" s="3" t="n">
        <v>1</v>
      </c>
      <c r="F45" s="3" t="n">
        <v>2</v>
      </c>
      <c r="G45" s="34">
        <f>IF(E45&gt;F45,"Local",IF(E45=F45,"Empate","Visitante"))</f>
        <v/>
      </c>
      <c r="H45" s="1">
        <f>E45-F45</f>
        <v/>
      </c>
      <c r="J45" s="32" t="n"/>
      <c r="K45" s="8" t="n">
        <v>2</v>
      </c>
      <c r="L45" s="34" t="inlineStr">
        <is>
          <t>Uruguay</t>
        </is>
      </c>
      <c r="M45" s="3">
        <f>(Q45*3)+R45</f>
        <v/>
      </c>
      <c r="N45" s="3">
        <f>O45-P45</f>
        <v/>
      </c>
      <c r="O45" s="3">
        <f>Z45+AA45</f>
        <v/>
      </c>
      <c r="P45" s="3">
        <f>AB45+AC45</f>
        <v/>
      </c>
      <c r="Q45" s="34">
        <f>T45+U45</f>
        <v/>
      </c>
      <c r="R45" s="34">
        <f>V45+W45</f>
        <v/>
      </c>
      <c r="S45" s="9">
        <f>X45+Y45</f>
        <v/>
      </c>
      <c r="T45" s="34">
        <f>COUNTIFS(C:C,L45,G:G,"Local")</f>
        <v/>
      </c>
      <c r="U45" s="34">
        <f>COUNTIFS(D:D,L45,G:G,"Visitante")</f>
        <v/>
      </c>
      <c r="V45" s="34">
        <f>COUNTIFS(C:C,L45,G:G,"Empate")</f>
        <v/>
      </c>
      <c r="W45" s="34">
        <f>COUNTIFS(D:D,L45,G:G,"Empate")</f>
        <v/>
      </c>
      <c r="X45" s="34">
        <f>COUNTIFS(C:C,L45,G:G,"Visitante")</f>
        <v/>
      </c>
      <c r="Y45" s="34">
        <f>COUNTIFS(D:D,L45,G:G,"Local")</f>
        <v/>
      </c>
      <c r="Z45" s="34">
        <f>SUMIF(C:C,L45,E:E)</f>
        <v/>
      </c>
      <c r="AA45" s="34">
        <f>SUMIF(D:D,L45,F:F)</f>
        <v/>
      </c>
      <c r="AB45" s="34">
        <f>SUMIF(C:C,L45,F:F)</f>
        <v/>
      </c>
      <c r="AC45" s="34">
        <f>SUMIF(D:D,L45,E:E)</f>
        <v/>
      </c>
    </row>
    <row r="46">
      <c r="A46" s="34" t="n">
        <v>45</v>
      </c>
      <c r="B46" s="34" t="inlineStr">
        <is>
          <t>H</t>
        </is>
      </c>
      <c r="C46" s="34" t="inlineStr">
        <is>
          <t>España</t>
        </is>
      </c>
      <c r="D46" s="34" t="inlineStr">
        <is>
          <t>Arabia Saudí</t>
        </is>
      </c>
      <c r="E46" s="3" t="n">
        <v>3</v>
      </c>
      <c r="F46" s="3" t="n">
        <v>0</v>
      </c>
      <c r="G46" s="34">
        <f>IF(E46&gt;F46,"Local",IF(E46=F46,"Empate","Visitante"))</f>
        <v/>
      </c>
      <c r="H46" s="1">
        <f>E46-F46</f>
        <v/>
      </c>
      <c r="J46" s="32" t="n"/>
      <c r="K46" s="8" t="n">
        <v>3</v>
      </c>
      <c r="L46" s="34" t="inlineStr">
        <is>
          <t>Arabia Saudí</t>
        </is>
      </c>
      <c r="M46" s="3">
        <f>(Q46*3)+R46</f>
        <v/>
      </c>
      <c r="N46" s="3">
        <f>O46-P46</f>
        <v/>
      </c>
      <c r="O46" s="3">
        <f>Z46+AA46</f>
        <v/>
      </c>
      <c r="P46" s="3">
        <f>AB46+AC46</f>
        <v/>
      </c>
      <c r="Q46" s="34">
        <f>T46+U46</f>
        <v/>
      </c>
      <c r="R46" s="34">
        <f>V46+W46</f>
        <v/>
      </c>
      <c r="S46" s="9">
        <f>X46+Y46</f>
        <v/>
      </c>
      <c r="T46" s="34">
        <f>COUNTIFS(C:C,L46,G:G,"Local")</f>
        <v/>
      </c>
      <c r="U46" s="34">
        <f>COUNTIFS(D:D,L46,G:G,"Visitante")</f>
        <v/>
      </c>
      <c r="V46" s="34">
        <f>COUNTIFS(C:C,L46,G:G,"Empate")</f>
        <v/>
      </c>
      <c r="W46" s="34">
        <f>COUNTIFS(D:D,L46,G:G,"Empate")</f>
        <v/>
      </c>
      <c r="X46" s="34">
        <f>COUNTIFS(C:C,L46,G:G,"Visitante")</f>
        <v/>
      </c>
      <c r="Y46" s="34">
        <f>COUNTIFS(D:D,L46,G:G,"Local")</f>
        <v/>
      </c>
      <c r="Z46" s="34">
        <f>SUMIF(C:C,L46,E:E)</f>
        <v/>
      </c>
      <c r="AA46" s="34">
        <f>SUMIF(D:D,L46,F:F)</f>
        <v/>
      </c>
      <c r="AB46" s="34">
        <f>SUMIF(C:C,L46,F:F)</f>
        <v/>
      </c>
      <c r="AC46" s="34">
        <f>SUMIF(D:D,L46,E:E)</f>
        <v/>
      </c>
    </row>
    <row r="47">
      <c r="A47" s="34" t="n">
        <v>46</v>
      </c>
      <c r="B47" s="34" t="inlineStr">
        <is>
          <t>H</t>
        </is>
      </c>
      <c r="C47" s="34" t="inlineStr">
        <is>
          <t>Uruguay</t>
        </is>
      </c>
      <c r="D47" s="34" t="inlineStr">
        <is>
          <t>Cabo Verde</t>
        </is>
      </c>
      <c r="E47" s="3" t="n">
        <v>3</v>
      </c>
      <c r="F47" s="3" t="n">
        <v>0</v>
      </c>
      <c r="G47" s="34">
        <f>IF(E47&gt;F47,"Local",IF(E47=F47,"Empate","Visitante"))</f>
        <v/>
      </c>
      <c r="H47" s="1">
        <f>E47-F47</f>
        <v/>
      </c>
      <c r="J47" s="33" t="n"/>
      <c r="K47" s="10" t="n">
        <v>4</v>
      </c>
      <c r="L47" s="4" t="inlineStr">
        <is>
          <t>Cabo Verde</t>
        </is>
      </c>
      <c r="M47" s="11">
        <f>(Q47*3)+R47</f>
        <v/>
      </c>
      <c r="N47" s="11">
        <f>O47-P47</f>
        <v/>
      </c>
      <c r="O47" s="11">
        <f>Z47+AA47</f>
        <v/>
      </c>
      <c r="P47" s="11">
        <f>AB47+AC47</f>
        <v/>
      </c>
      <c r="Q47" s="4">
        <f>T47+U47</f>
        <v/>
      </c>
      <c r="R47" s="4">
        <f>V47+W47</f>
        <v/>
      </c>
      <c r="S47" s="12">
        <f>X47+Y47</f>
        <v/>
      </c>
      <c r="T47" s="34">
        <f>COUNTIFS(C:C,L47,G:G,"Local")</f>
        <v/>
      </c>
      <c r="U47" s="34">
        <f>COUNTIFS(D:D,L47,G:G,"Visitante")</f>
        <v/>
      </c>
      <c r="V47" s="34">
        <f>COUNTIFS(C:C,L47,G:G,"Empate")</f>
        <v/>
      </c>
      <c r="W47" s="34">
        <f>COUNTIFS(D:D,L47,G:G,"Empate")</f>
        <v/>
      </c>
      <c r="X47" s="34">
        <f>COUNTIFS(C:C,L47,G:G,"Visitante")</f>
        <v/>
      </c>
      <c r="Y47" s="34">
        <f>COUNTIFS(D:D,L47,G:G,"Local")</f>
        <v/>
      </c>
      <c r="Z47" s="34">
        <f>SUMIF(C:C,L47,E:E)</f>
        <v/>
      </c>
      <c r="AA47" s="34">
        <f>SUMIF(D:D,L47,F:F)</f>
        <v/>
      </c>
      <c r="AB47" s="34">
        <f>SUMIF(C:C,L47,F:F)</f>
        <v/>
      </c>
      <c r="AC47" s="34">
        <f>SUMIF(D:D,L47,E:E)</f>
        <v/>
      </c>
    </row>
    <row r="48">
      <c r="A48" s="34" t="n">
        <v>47</v>
      </c>
      <c r="B48" s="34" t="inlineStr">
        <is>
          <t>H</t>
        </is>
      </c>
      <c r="C48" s="34" t="inlineStr">
        <is>
          <t>Cabo Verde</t>
        </is>
      </c>
      <c r="D48" s="34" t="inlineStr">
        <is>
          <t>Arabia Saudí</t>
        </is>
      </c>
      <c r="E48" s="3" t="n">
        <v>1</v>
      </c>
      <c r="F48" s="3" t="n">
        <v>2</v>
      </c>
      <c r="G48" s="34">
        <f>IF(E48&gt;F48,"Local",IF(E48=F48,"Empate","Visitante"))</f>
        <v/>
      </c>
      <c r="H48" s="1">
        <f>E48-F48</f>
        <v/>
      </c>
    </row>
    <row r="49">
      <c r="A49" s="34" t="n">
        <v>48</v>
      </c>
      <c r="B49" s="34" t="inlineStr">
        <is>
          <t>H</t>
        </is>
      </c>
      <c r="C49" s="34" t="inlineStr">
        <is>
          <t>Uruguay</t>
        </is>
      </c>
      <c r="D49" s="34" t="inlineStr">
        <is>
          <t>España</t>
        </is>
      </c>
      <c r="E49" s="3" t="n">
        <v>1</v>
      </c>
      <c r="F49" s="3" t="n">
        <v>2</v>
      </c>
      <c r="G49" s="34">
        <f>IF(E49&gt;F49,"Local",IF(E49=F49,"Empate","Visitante"))</f>
        <v/>
      </c>
      <c r="H49" s="1">
        <f>E49-F49</f>
        <v/>
      </c>
      <c r="J49" s="6" t="inlineStr">
        <is>
          <t>Grupo</t>
        </is>
      </c>
      <c r="K49" s="7" t="inlineStr">
        <is>
          <t>Posición</t>
        </is>
      </c>
      <c r="L49" s="34" t="inlineStr">
        <is>
          <t>Equipo</t>
        </is>
      </c>
      <c r="M49" s="34" t="inlineStr">
        <is>
          <t>Puntos</t>
        </is>
      </c>
      <c r="N49" s="34" t="inlineStr">
        <is>
          <t>Diferencia</t>
        </is>
      </c>
      <c r="O49" s="34" t="inlineStr">
        <is>
          <t>GF</t>
        </is>
      </c>
      <c r="P49" s="5" t="inlineStr">
        <is>
          <t>GC</t>
        </is>
      </c>
      <c r="Q49" s="5" t="inlineStr">
        <is>
          <t>Victorias</t>
        </is>
      </c>
      <c r="R49" s="5" t="inlineStr">
        <is>
          <t>Empates</t>
        </is>
      </c>
      <c r="S49" s="7" t="inlineStr">
        <is>
          <t>Derrotas</t>
        </is>
      </c>
      <c r="T49" s="5" t="inlineStr">
        <is>
          <t>Victorias_L</t>
        </is>
      </c>
      <c r="U49" s="5" t="inlineStr">
        <is>
          <t>Victorias_V</t>
        </is>
      </c>
      <c r="V49" s="5" t="inlineStr">
        <is>
          <t>Empates_L</t>
        </is>
      </c>
      <c r="W49" s="5" t="inlineStr">
        <is>
          <t>Empates_V</t>
        </is>
      </c>
      <c r="X49" s="5" t="inlineStr">
        <is>
          <t>Derrotas_L</t>
        </is>
      </c>
      <c r="Y49" s="5" t="inlineStr">
        <is>
          <t>Derrotas_V</t>
        </is>
      </c>
      <c r="Z49" s="5" t="inlineStr">
        <is>
          <t>GF_L</t>
        </is>
      </c>
      <c r="AA49" s="5" t="inlineStr">
        <is>
          <t>GF_V</t>
        </is>
      </c>
      <c r="AB49" s="5" t="inlineStr">
        <is>
          <t>GC_L</t>
        </is>
      </c>
      <c r="AC49" s="5" t="inlineStr">
        <is>
          <t>GC_V</t>
        </is>
      </c>
    </row>
    <row r="50">
      <c r="A50" s="34" t="n">
        <v>49</v>
      </c>
      <c r="B50" s="34" t="inlineStr">
        <is>
          <t>I</t>
        </is>
      </c>
      <c r="C50" s="34" t="inlineStr">
        <is>
          <t>Francia</t>
        </is>
      </c>
      <c r="D50" s="34" t="inlineStr">
        <is>
          <t>Senegal</t>
        </is>
      </c>
      <c r="E50" s="3" t="n">
        <v>2</v>
      </c>
      <c r="F50" s="3" t="n">
        <v>1</v>
      </c>
      <c r="G50" s="34">
        <f>IF(E50&gt;F50,"Local",IF(E50=F50,"Empate","Visitante"))</f>
        <v/>
      </c>
      <c r="H50" s="1">
        <f>E50-F50</f>
        <v/>
      </c>
      <c r="J50" s="34" t="inlineStr">
        <is>
          <t>I</t>
        </is>
      </c>
      <c r="K50" s="8" t="n">
        <v>1</v>
      </c>
      <c r="L50" s="34" t="inlineStr">
        <is>
          <t>Francia</t>
        </is>
      </c>
      <c r="M50" s="3">
        <f>(Q50*3)+R50</f>
        <v/>
      </c>
      <c r="N50" s="3">
        <f>O50-P50</f>
        <v/>
      </c>
      <c r="O50" s="3">
        <f>Z50+AA50</f>
        <v/>
      </c>
      <c r="P50" s="3">
        <f>AB50+AC50</f>
        <v/>
      </c>
      <c r="Q50" s="34">
        <f>T50+U50</f>
        <v/>
      </c>
      <c r="R50" s="34">
        <f>V50+W50</f>
        <v/>
      </c>
      <c r="S50" s="9">
        <f>X50+Y50</f>
        <v/>
      </c>
      <c r="T50" s="34">
        <f>COUNTIFS(C:C,L50,G:G,"Local")</f>
        <v/>
      </c>
      <c r="U50" s="34">
        <f>COUNTIFS(D:D,L50,G:G,"Visitante")</f>
        <v/>
      </c>
      <c r="V50" s="34">
        <f>COUNTIFS(C:C,L50,G:G,"Empate")</f>
        <v/>
      </c>
      <c r="W50" s="34">
        <f>COUNTIFS(D:D,L50,G:G,"Empate")</f>
        <v/>
      </c>
      <c r="X50" s="34">
        <f>COUNTIFS(C:C,L50,G:G,"Visitante")</f>
        <v/>
      </c>
      <c r="Y50" s="34">
        <f>COUNTIFS(D:D,L50,G:G,"Local")</f>
        <v/>
      </c>
      <c r="Z50" s="34">
        <f>SUMIF(C:C,L50,E:E)</f>
        <v/>
      </c>
      <c r="AA50" s="34">
        <f>SUMIF(D:D,L50,F:F)</f>
        <v/>
      </c>
      <c r="AB50" s="34">
        <f>SUMIF(C:C,L50,F:F)</f>
        <v/>
      </c>
      <c r="AC50" s="34">
        <f>SUMIF(D:D,L50,E:E)</f>
        <v/>
      </c>
    </row>
    <row r="51">
      <c r="A51" s="34" t="n">
        <v>50</v>
      </c>
      <c r="B51" s="34" t="inlineStr">
        <is>
          <t>I</t>
        </is>
      </c>
      <c r="C51" s="34" t="inlineStr">
        <is>
          <t>Irak</t>
        </is>
      </c>
      <c r="D51" s="34" t="inlineStr">
        <is>
          <t>Noruega</t>
        </is>
      </c>
      <c r="E51" s="3" t="n">
        <v>0</v>
      </c>
      <c r="F51" s="3" t="n">
        <v>3</v>
      </c>
      <c r="G51" s="34">
        <f>IF(E51&gt;F51,"Local",IF(E51=F51,"Empate","Visitante"))</f>
        <v/>
      </c>
      <c r="H51" s="1">
        <f>E51-F51</f>
        <v/>
      </c>
      <c r="J51" s="32" t="n"/>
      <c r="K51" s="8" t="n">
        <v>2</v>
      </c>
      <c r="L51" s="34" t="inlineStr">
        <is>
          <t>Noruega</t>
        </is>
      </c>
      <c r="M51" s="3">
        <f>(Q51*3)+R51</f>
        <v/>
      </c>
      <c r="N51" s="3">
        <f>O51-P51</f>
        <v/>
      </c>
      <c r="O51" s="3">
        <f>Z51+AA51</f>
        <v/>
      </c>
      <c r="P51" s="3">
        <f>AB51+AC51</f>
        <v/>
      </c>
      <c r="Q51" s="34">
        <f>T51+U51</f>
        <v/>
      </c>
      <c r="R51" s="34">
        <f>V51+W51</f>
        <v/>
      </c>
      <c r="S51" s="9">
        <f>X51+Y51</f>
        <v/>
      </c>
      <c r="T51" s="34">
        <f>COUNTIFS(C:C,L51,G:G,"Local")</f>
        <v/>
      </c>
      <c r="U51" s="34">
        <f>COUNTIFS(D:D,L51,G:G,"Visitante")</f>
        <v/>
      </c>
      <c r="V51" s="34">
        <f>COUNTIFS(C:C,L51,G:G,"Empate")</f>
        <v/>
      </c>
      <c r="W51" s="34">
        <f>COUNTIFS(D:D,L51,G:G,"Empate")</f>
        <v/>
      </c>
      <c r="X51" s="34">
        <f>COUNTIFS(C:C,L51,G:G,"Visitante")</f>
        <v/>
      </c>
      <c r="Y51" s="34">
        <f>COUNTIFS(D:D,L51,G:G,"Local")</f>
        <v/>
      </c>
      <c r="Z51" s="34">
        <f>SUMIF(C:C,L51,E:E)</f>
        <v/>
      </c>
      <c r="AA51" s="34">
        <f>SUMIF(D:D,L51,F:F)</f>
        <v/>
      </c>
      <c r="AB51" s="34">
        <f>SUMIF(C:C,L51,F:F)</f>
        <v/>
      </c>
      <c r="AC51" s="34">
        <f>SUMIF(D:D,L51,E:E)</f>
        <v/>
      </c>
    </row>
    <row r="52">
      <c r="A52" s="34" t="n">
        <v>51</v>
      </c>
      <c r="B52" s="34" t="inlineStr">
        <is>
          <t>I</t>
        </is>
      </c>
      <c r="C52" s="34" t="inlineStr">
        <is>
          <t>Francia</t>
        </is>
      </c>
      <c r="D52" s="34" t="inlineStr">
        <is>
          <t>Irak</t>
        </is>
      </c>
      <c r="E52" s="3" t="n">
        <v>3</v>
      </c>
      <c r="F52" s="3" t="n">
        <v>0</v>
      </c>
      <c r="G52" s="34">
        <f>IF(E52&gt;F52,"Local",IF(E52=F52,"Empate","Visitante"))</f>
        <v/>
      </c>
      <c r="H52" s="1">
        <f>E52-F52</f>
        <v/>
      </c>
      <c r="J52" s="32" t="n"/>
      <c r="K52" s="8" t="n">
        <v>3</v>
      </c>
      <c r="L52" s="34" t="inlineStr">
        <is>
          <t>Senegal</t>
        </is>
      </c>
      <c r="M52" s="3">
        <f>(Q52*3)+R52</f>
        <v/>
      </c>
      <c r="N52" s="3">
        <f>O52-P52</f>
        <v/>
      </c>
      <c r="O52" s="3">
        <f>Z52+AA52</f>
        <v/>
      </c>
      <c r="P52" s="3">
        <f>AB52+AC52</f>
        <v/>
      </c>
      <c r="Q52" s="34">
        <f>T52+U52</f>
        <v/>
      </c>
      <c r="R52" s="34">
        <f>V52+W52</f>
        <v/>
      </c>
      <c r="S52" s="9">
        <f>X52+Y52</f>
        <v/>
      </c>
      <c r="T52" s="34">
        <f>COUNTIFS(C:C,L52,G:G,"Local")</f>
        <v/>
      </c>
      <c r="U52" s="34">
        <f>COUNTIFS(D:D,L52,G:G,"Visitante")</f>
        <v/>
      </c>
      <c r="V52" s="34">
        <f>COUNTIFS(C:C,L52,G:G,"Empate")</f>
        <v/>
      </c>
      <c r="W52" s="34">
        <f>COUNTIFS(D:D,L52,G:G,"Empate")</f>
        <v/>
      </c>
      <c r="X52" s="34">
        <f>COUNTIFS(C:C,L52,G:G,"Visitante")</f>
        <v/>
      </c>
      <c r="Y52" s="34">
        <f>COUNTIFS(D:D,L52,G:G,"Local")</f>
        <v/>
      </c>
      <c r="Z52" s="34">
        <f>SUMIF(C:C,L52,E:E)</f>
        <v/>
      </c>
      <c r="AA52" s="34">
        <f>SUMIF(D:D,L52,F:F)</f>
        <v/>
      </c>
      <c r="AB52" s="34">
        <f>SUMIF(C:C,L52,F:F)</f>
        <v/>
      </c>
      <c r="AC52" s="34">
        <f>SUMIF(D:D,L52,E:E)</f>
        <v/>
      </c>
    </row>
    <row r="53">
      <c r="A53" s="34" t="n">
        <v>52</v>
      </c>
      <c r="B53" s="34" t="inlineStr">
        <is>
          <t>I</t>
        </is>
      </c>
      <c r="C53" s="34" t="inlineStr">
        <is>
          <t>Noruega</t>
        </is>
      </c>
      <c r="D53" s="34" t="inlineStr">
        <is>
          <t>Senegal</t>
        </is>
      </c>
      <c r="E53" s="3" t="n">
        <v>2</v>
      </c>
      <c r="F53" s="3" t="n">
        <v>1</v>
      </c>
      <c r="G53" s="34">
        <f>IF(E53&gt;F53,"Local",IF(E53=F53,"Empate","Visitante"))</f>
        <v/>
      </c>
      <c r="H53" s="1">
        <f>E53-F53</f>
        <v/>
      </c>
      <c r="J53" s="33" t="n"/>
      <c r="K53" s="10" t="n">
        <v>4</v>
      </c>
      <c r="L53" s="4" t="inlineStr">
        <is>
          <t>Irak</t>
        </is>
      </c>
      <c r="M53" s="11">
        <f>(Q53*3)+R53</f>
        <v/>
      </c>
      <c r="N53" s="11">
        <f>O53-P53</f>
        <v/>
      </c>
      <c r="O53" s="11">
        <f>Z53+AA53</f>
        <v/>
      </c>
      <c r="P53" s="11">
        <f>AB53+AC53</f>
        <v/>
      </c>
      <c r="Q53" s="4">
        <f>T53+U53</f>
        <v/>
      </c>
      <c r="R53" s="4">
        <f>V53+W53</f>
        <v/>
      </c>
      <c r="S53" s="12">
        <f>X53+Y53</f>
        <v/>
      </c>
      <c r="T53" s="34">
        <f>COUNTIFS(C:C,L53,G:G,"Local")</f>
        <v/>
      </c>
      <c r="U53" s="34">
        <f>COUNTIFS(D:D,L53,G:G,"Visitante")</f>
        <v/>
      </c>
      <c r="V53" s="34">
        <f>COUNTIFS(C:C,L53,G:G,"Empate")</f>
        <v/>
      </c>
      <c r="W53" s="34">
        <f>COUNTIFS(D:D,L53,G:G,"Empate")</f>
        <v/>
      </c>
      <c r="X53" s="34">
        <f>COUNTIFS(C:C,L53,G:G,"Visitante")</f>
        <v/>
      </c>
      <c r="Y53" s="34">
        <f>COUNTIFS(D:D,L53,G:G,"Local")</f>
        <v/>
      </c>
      <c r="Z53" s="34">
        <f>SUMIF(C:C,L53,E:E)</f>
        <v/>
      </c>
      <c r="AA53" s="34">
        <f>SUMIF(D:D,L53,F:F)</f>
        <v/>
      </c>
      <c r="AB53" s="34">
        <f>SUMIF(C:C,L53,F:F)</f>
        <v/>
      </c>
      <c r="AC53" s="34">
        <f>SUMIF(D:D,L53,E:E)</f>
        <v/>
      </c>
    </row>
    <row r="54">
      <c r="A54" s="34" t="n">
        <v>53</v>
      </c>
      <c r="B54" s="34" t="inlineStr">
        <is>
          <t>I</t>
        </is>
      </c>
      <c r="C54" s="34" t="inlineStr">
        <is>
          <t>Noruega</t>
        </is>
      </c>
      <c r="D54" s="34" t="inlineStr">
        <is>
          <t>Francia</t>
        </is>
      </c>
      <c r="E54" s="3" t="n">
        <v>1</v>
      </c>
      <c r="F54" s="3" t="n">
        <v>2</v>
      </c>
      <c r="G54" s="34">
        <f>IF(E54&gt;F54,"Local",IF(E54=F54,"Empate","Visitante"))</f>
        <v/>
      </c>
      <c r="H54" s="1">
        <f>E54-F54</f>
        <v/>
      </c>
    </row>
    <row r="55">
      <c r="A55" s="34" t="n">
        <v>54</v>
      </c>
      <c r="B55" s="34" t="inlineStr">
        <is>
          <t>I</t>
        </is>
      </c>
      <c r="C55" s="34" t="inlineStr">
        <is>
          <t>Senegal</t>
        </is>
      </c>
      <c r="D55" s="34" t="inlineStr">
        <is>
          <t>Irak</t>
        </is>
      </c>
      <c r="E55" s="3" t="n">
        <v>2</v>
      </c>
      <c r="F55" s="3" t="n">
        <v>0</v>
      </c>
      <c r="G55" s="34">
        <f>IF(E55&gt;F55,"Local",IF(E55=F55,"Empate","Visitante"))</f>
        <v/>
      </c>
      <c r="H55" s="1">
        <f>E55-F55</f>
        <v/>
      </c>
      <c r="J55" s="6" t="inlineStr">
        <is>
          <t>Grupo</t>
        </is>
      </c>
      <c r="K55" s="7" t="inlineStr">
        <is>
          <t>Posición</t>
        </is>
      </c>
      <c r="L55" s="34" t="inlineStr">
        <is>
          <t>Equipo</t>
        </is>
      </c>
      <c r="M55" s="34" t="inlineStr">
        <is>
          <t>Puntos</t>
        </is>
      </c>
      <c r="N55" s="34" t="inlineStr">
        <is>
          <t>Diferencia</t>
        </is>
      </c>
      <c r="O55" s="34" t="inlineStr">
        <is>
          <t>GF</t>
        </is>
      </c>
      <c r="P55" s="5" t="inlineStr">
        <is>
          <t>GC</t>
        </is>
      </c>
      <c r="Q55" s="5" t="inlineStr">
        <is>
          <t>Victorias</t>
        </is>
      </c>
      <c r="R55" s="5" t="inlineStr">
        <is>
          <t>Empates</t>
        </is>
      </c>
      <c r="S55" s="7" t="inlineStr">
        <is>
          <t>Derrotas</t>
        </is>
      </c>
      <c r="T55" s="5" t="inlineStr">
        <is>
          <t>Victorias_L</t>
        </is>
      </c>
      <c r="U55" s="5" t="inlineStr">
        <is>
          <t>Victorias_V</t>
        </is>
      </c>
      <c r="V55" s="5" t="inlineStr">
        <is>
          <t>Empates_L</t>
        </is>
      </c>
      <c r="W55" s="5" t="inlineStr">
        <is>
          <t>Empates_V</t>
        </is>
      </c>
      <c r="X55" s="5" t="inlineStr">
        <is>
          <t>Derrotas_L</t>
        </is>
      </c>
      <c r="Y55" s="5" t="inlineStr">
        <is>
          <t>Derrotas_V</t>
        </is>
      </c>
      <c r="Z55" s="5" t="inlineStr">
        <is>
          <t>GF_L</t>
        </is>
      </c>
      <c r="AA55" s="5" t="inlineStr">
        <is>
          <t>GF_V</t>
        </is>
      </c>
      <c r="AB55" s="5" t="inlineStr">
        <is>
          <t>GC_L</t>
        </is>
      </c>
      <c r="AC55" s="5" t="inlineStr">
        <is>
          <t>GC_V</t>
        </is>
      </c>
    </row>
    <row r="56">
      <c r="A56" s="34" t="n">
        <v>55</v>
      </c>
      <c r="B56" s="34" t="inlineStr">
        <is>
          <t>J</t>
        </is>
      </c>
      <c r="C56" s="34" t="inlineStr">
        <is>
          <t>Argentina</t>
        </is>
      </c>
      <c r="D56" s="34" t="inlineStr">
        <is>
          <t>Argelia</t>
        </is>
      </c>
      <c r="E56" s="3" t="n">
        <v>2</v>
      </c>
      <c r="F56" s="3" t="n">
        <v>0</v>
      </c>
      <c r="G56" s="34">
        <f>IF(E56&gt;F56,"Local",IF(E56=F56,"Empate","Visitante"))</f>
        <v/>
      </c>
      <c r="H56" s="1">
        <f>E56-F56</f>
        <v/>
      </c>
      <c r="J56" s="34" t="inlineStr">
        <is>
          <t>J</t>
        </is>
      </c>
      <c r="K56" s="8" t="n">
        <v>1</v>
      </c>
      <c r="L56" s="34" t="inlineStr">
        <is>
          <t>Argentina</t>
        </is>
      </c>
      <c r="M56" s="3">
        <f>(Q56*3)+R56</f>
        <v/>
      </c>
      <c r="N56" s="3">
        <f>O56-P56</f>
        <v/>
      </c>
      <c r="O56" s="3">
        <f>Z56+AA56</f>
        <v/>
      </c>
      <c r="P56" s="3">
        <f>AB56+AC56</f>
        <v/>
      </c>
      <c r="Q56" s="34">
        <f>T56+U56</f>
        <v/>
      </c>
      <c r="R56" s="34">
        <f>V56+W56</f>
        <v/>
      </c>
      <c r="S56" s="9">
        <f>X56+Y56</f>
        <v/>
      </c>
      <c r="T56" s="34">
        <f>COUNTIFS(C:C,L56,G:G,"Local")</f>
        <v/>
      </c>
      <c r="U56" s="34">
        <f>COUNTIFS(D:D,L56,G:G,"Visitante")</f>
        <v/>
      </c>
      <c r="V56" s="34">
        <f>COUNTIFS(C:C,L56,G:G,"Empate")</f>
        <v/>
      </c>
      <c r="W56" s="34">
        <f>COUNTIFS(D:D,L56,G:G,"Empate")</f>
        <v/>
      </c>
      <c r="X56" s="34">
        <f>COUNTIFS(C:C,L56,G:G,"Visitante")</f>
        <v/>
      </c>
      <c r="Y56" s="34">
        <f>COUNTIFS(D:D,L56,G:G,"Local")</f>
        <v/>
      </c>
      <c r="Z56" s="34">
        <f>SUMIF(C:C,L56,E:E)</f>
        <v/>
      </c>
      <c r="AA56" s="34">
        <f>SUMIF(D:D,L56,F:F)</f>
        <v/>
      </c>
      <c r="AB56" s="34">
        <f>SUMIF(C:C,L56,F:F)</f>
        <v/>
      </c>
      <c r="AC56" s="34">
        <f>SUMIF(D:D,L56,E:E)</f>
        <v/>
      </c>
    </row>
    <row r="57">
      <c r="A57" s="34" t="n">
        <v>56</v>
      </c>
      <c r="B57" s="34" t="inlineStr">
        <is>
          <t>J</t>
        </is>
      </c>
      <c r="C57" s="34" t="inlineStr">
        <is>
          <t>Austria</t>
        </is>
      </c>
      <c r="D57" s="34" t="inlineStr">
        <is>
          <t>Jordania</t>
        </is>
      </c>
      <c r="E57" s="3" t="n">
        <v>3</v>
      </c>
      <c r="F57" s="3" t="n">
        <v>0</v>
      </c>
      <c r="G57" s="34">
        <f>IF(E57&gt;F57,"Local",IF(E57=F57,"Empate","Visitante"))</f>
        <v/>
      </c>
      <c r="H57" s="1">
        <f>E57-F57</f>
        <v/>
      </c>
      <c r="J57" s="32" t="n"/>
      <c r="K57" s="8" t="n">
        <v>2</v>
      </c>
      <c r="L57" s="34" t="inlineStr">
        <is>
          <t>Austria</t>
        </is>
      </c>
      <c r="M57" s="3">
        <f>(Q57*3)+R57</f>
        <v/>
      </c>
      <c r="N57" s="3">
        <f>O57-P57</f>
        <v/>
      </c>
      <c r="O57" s="3">
        <f>Z57+AA57</f>
        <v/>
      </c>
      <c r="P57" s="3">
        <f>AB57+AC57</f>
        <v/>
      </c>
      <c r="Q57" s="34">
        <f>T57+U57</f>
        <v/>
      </c>
      <c r="R57" s="34">
        <f>V57+W57</f>
        <v/>
      </c>
      <c r="S57" s="9">
        <f>X57+Y57</f>
        <v/>
      </c>
      <c r="T57" s="34">
        <f>COUNTIFS(C:C,L57,G:G,"Local")</f>
        <v/>
      </c>
      <c r="U57" s="34">
        <f>COUNTIFS(D:D,L57,G:G,"Visitante")</f>
        <v/>
      </c>
      <c r="V57" s="34">
        <f>COUNTIFS(C:C,L57,G:G,"Empate")</f>
        <v/>
      </c>
      <c r="W57" s="34">
        <f>COUNTIFS(D:D,L57,G:G,"Empate")</f>
        <v/>
      </c>
      <c r="X57" s="34">
        <f>COUNTIFS(C:C,L57,G:G,"Visitante")</f>
        <v/>
      </c>
      <c r="Y57" s="34">
        <f>COUNTIFS(D:D,L57,G:G,"Local")</f>
        <v/>
      </c>
      <c r="Z57" s="34">
        <f>SUMIF(C:C,L57,E:E)</f>
        <v/>
      </c>
      <c r="AA57" s="34">
        <f>SUMIF(D:D,L57,F:F)</f>
        <v/>
      </c>
      <c r="AB57" s="34">
        <f>SUMIF(C:C,L57,F:F)</f>
        <v/>
      </c>
      <c r="AC57" s="34">
        <f>SUMIF(D:D,L57,E:E)</f>
        <v/>
      </c>
    </row>
    <row r="58">
      <c r="A58" s="34" t="n">
        <v>57</v>
      </c>
      <c r="B58" s="34" t="inlineStr">
        <is>
          <t>J</t>
        </is>
      </c>
      <c r="C58" s="34" t="inlineStr">
        <is>
          <t>Argentina</t>
        </is>
      </c>
      <c r="D58" s="34" t="inlineStr">
        <is>
          <t>Austria</t>
        </is>
      </c>
      <c r="E58" s="3" t="n">
        <v>2</v>
      </c>
      <c r="F58" s="3" t="n">
        <v>1</v>
      </c>
      <c r="G58" s="34">
        <f>IF(E58&gt;F58,"Local",IF(E58=F58,"Empate","Visitante"))</f>
        <v/>
      </c>
      <c r="H58" s="1">
        <f>E58-F58</f>
        <v/>
      </c>
      <c r="J58" s="32" t="n"/>
      <c r="K58" s="8" t="n">
        <v>3</v>
      </c>
      <c r="L58" s="34" t="inlineStr">
        <is>
          <t>Argelia</t>
        </is>
      </c>
      <c r="M58" s="3">
        <f>(Q58*3)+R58</f>
        <v/>
      </c>
      <c r="N58" s="3">
        <f>O58-P58</f>
        <v/>
      </c>
      <c r="O58" s="3">
        <f>Z58+AA58</f>
        <v/>
      </c>
      <c r="P58" s="3">
        <f>AB58+AC58</f>
        <v/>
      </c>
      <c r="Q58" s="34">
        <f>T58+U58</f>
        <v/>
      </c>
      <c r="R58" s="34">
        <f>V58+W58</f>
        <v/>
      </c>
      <c r="S58" s="9">
        <f>X58+Y58</f>
        <v/>
      </c>
      <c r="T58" s="34">
        <f>COUNTIFS(C:C,L58,G:G,"Local")</f>
        <v/>
      </c>
      <c r="U58" s="34">
        <f>COUNTIFS(D:D,L58,G:G,"Visitante")</f>
        <v/>
      </c>
      <c r="V58" s="34">
        <f>COUNTIFS(C:C,L58,G:G,"Empate")</f>
        <v/>
      </c>
      <c r="W58" s="34">
        <f>COUNTIFS(D:D,L58,G:G,"Empate")</f>
        <v/>
      </c>
      <c r="X58" s="34">
        <f>COUNTIFS(C:C,L58,G:G,"Visitante")</f>
        <v/>
      </c>
      <c r="Y58" s="34">
        <f>COUNTIFS(D:D,L58,G:G,"Local")</f>
        <v/>
      </c>
      <c r="Z58" s="34">
        <f>SUMIF(C:C,L58,E:E)</f>
        <v/>
      </c>
      <c r="AA58" s="34">
        <f>SUMIF(D:D,L58,F:F)</f>
        <v/>
      </c>
      <c r="AB58" s="34">
        <f>SUMIF(C:C,L58,F:F)</f>
        <v/>
      </c>
      <c r="AC58" s="34">
        <f>SUMIF(D:D,L58,E:E)</f>
        <v/>
      </c>
    </row>
    <row r="59">
      <c r="A59" s="34" t="n">
        <v>58</v>
      </c>
      <c r="B59" s="34" t="inlineStr">
        <is>
          <t>J</t>
        </is>
      </c>
      <c r="C59" s="34" t="inlineStr">
        <is>
          <t>Jordania</t>
        </is>
      </c>
      <c r="D59" s="34" t="inlineStr">
        <is>
          <t>Argelia</t>
        </is>
      </c>
      <c r="E59" s="3" t="n">
        <v>0</v>
      </c>
      <c r="F59" s="3" t="n">
        <v>2</v>
      </c>
      <c r="G59" s="34">
        <f>IF(E59&gt;F59,"Local",IF(E59=F59,"Empate","Visitante"))</f>
        <v/>
      </c>
      <c r="H59" s="1">
        <f>E59-F59</f>
        <v/>
      </c>
      <c r="J59" s="33" t="n"/>
      <c r="K59" s="10" t="n">
        <v>4</v>
      </c>
      <c r="L59" s="4" t="inlineStr">
        <is>
          <t>Jordania</t>
        </is>
      </c>
      <c r="M59" s="11">
        <f>(Q59*3)+R59</f>
        <v/>
      </c>
      <c r="N59" s="11">
        <f>O59-P59</f>
        <v/>
      </c>
      <c r="O59" s="11">
        <f>Z59+AA59</f>
        <v/>
      </c>
      <c r="P59" s="11">
        <f>AB59+AC59</f>
        <v/>
      </c>
      <c r="Q59" s="4">
        <f>T59+U59</f>
        <v/>
      </c>
      <c r="R59" s="4">
        <f>V59+W59</f>
        <v/>
      </c>
      <c r="S59" s="12">
        <f>X59+Y59</f>
        <v/>
      </c>
      <c r="T59" s="34">
        <f>COUNTIFS(C:C,L59,G:G,"Local")</f>
        <v/>
      </c>
      <c r="U59" s="34">
        <f>COUNTIFS(D:D,L59,G:G,"Visitante")</f>
        <v/>
      </c>
      <c r="V59" s="34">
        <f>COUNTIFS(C:C,L59,G:G,"Empate")</f>
        <v/>
      </c>
      <c r="W59" s="34">
        <f>COUNTIFS(D:D,L59,G:G,"Empate")</f>
        <v/>
      </c>
      <c r="X59" s="34">
        <f>COUNTIFS(C:C,L59,G:G,"Visitante")</f>
        <v/>
      </c>
      <c r="Y59" s="34">
        <f>COUNTIFS(D:D,L59,G:G,"Local")</f>
        <v/>
      </c>
      <c r="Z59" s="34">
        <f>SUMIF(C:C,L59,E:E)</f>
        <v/>
      </c>
      <c r="AA59" s="34">
        <f>SUMIF(D:D,L59,F:F)</f>
        <v/>
      </c>
      <c r="AB59" s="34">
        <f>SUMIF(C:C,L59,F:F)</f>
        <v/>
      </c>
      <c r="AC59" s="34">
        <f>SUMIF(D:D,L59,E:E)</f>
        <v/>
      </c>
    </row>
    <row r="60">
      <c r="A60" s="34" t="n">
        <v>59</v>
      </c>
      <c r="B60" s="34" t="inlineStr">
        <is>
          <t>J</t>
        </is>
      </c>
      <c r="C60" s="34" t="inlineStr">
        <is>
          <t>Argelia</t>
        </is>
      </c>
      <c r="D60" s="34" t="inlineStr">
        <is>
          <t>Austria</t>
        </is>
      </c>
      <c r="E60" s="3" t="n">
        <v>1</v>
      </c>
      <c r="F60" s="3" t="n">
        <v>1</v>
      </c>
      <c r="G60" s="34">
        <f>IF(E60&gt;F60,"Local",IF(E60=F60,"Empate","Visitante"))</f>
        <v/>
      </c>
      <c r="H60" s="1">
        <f>E60-F60</f>
        <v/>
      </c>
    </row>
    <row r="61">
      <c r="A61" s="34" t="n">
        <v>60</v>
      </c>
      <c r="B61" s="34" t="inlineStr">
        <is>
          <t>J</t>
        </is>
      </c>
      <c r="C61" s="34" t="inlineStr">
        <is>
          <t>Jordania</t>
        </is>
      </c>
      <c r="D61" s="34" t="inlineStr">
        <is>
          <t>Argentina</t>
        </is>
      </c>
      <c r="E61" s="3" t="n">
        <v>0</v>
      </c>
      <c r="F61" s="3" t="n">
        <v>3</v>
      </c>
      <c r="G61" s="34">
        <f>IF(E61&gt;F61,"Local",IF(E61=F61,"Empate","Visitante"))</f>
        <v/>
      </c>
      <c r="H61" s="1">
        <f>E61-F61</f>
        <v/>
      </c>
      <c r="J61" s="6" t="inlineStr">
        <is>
          <t>Grupo</t>
        </is>
      </c>
      <c r="K61" s="7" t="inlineStr">
        <is>
          <t>Posición</t>
        </is>
      </c>
      <c r="L61" s="34" t="inlineStr">
        <is>
          <t>Equipo</t>
        </is>
      </c>
      <c r="M61" s="34" t="inlineStr">
        <is>
          <t>Puntos</t>
        </is>
      </c>
      <c r="N61" s="34" t="inlineStr">
        <is>
          <t>Diferencia</t>
        </is>
      </c>
      <c r="O61" s="34" t="inlineStr">
        <is>
          <t>GF</t>
        </is>
      </c>
      <c r="P61" s="5" t="inlineStr">
        <is>
          <t>GC</t>
        </is>
      </c>
      <c r="Q61" s="5" t="inlineStr">
        <is>
          <t>Victorias</t>
        </is>
      </c>
      <c r="R61" s="5" t="inlineStr">
        <is>
          <t>Empates</t>
        </is>
      </c>
      <c r="S61" s="7" t="inlineStr">
        <is>
          <t>Derrotas</t>
        </is>
      </c>
      <c r="T61" s="5" t="inlineStr">
        <is>
          <t>Victorias_L</t>
        </is>
      </c>
      <c r="U61" s="5" t="inlineStr">
        <is>
          <t>Victorias_V</t>
        </is>
      </c>
      <c r="V61" s="5" t="inlineStr">
        <is>
          <t>Empates_L</t>
        </is>
      </c>
      <c r="W61" s="5" t="inlineStr">
        <is>
          <t>Empates_V</t>
        </is>
      </c>
      <c r="X61" s="5" t="inlineStr">
        <is>
          <t>Derrotas_L</t>
        </is>
      </c>
      <c r="Y61" s="5" t="inlineStr">
        <is>
          <t>Derrotas_V</t>
        </is>
      </c>
      <c r="Z61" s="5" t="inlineStr">
        <is>
          <t>GF_L</t>
        </is>
      </c>
      <c r="AA61" s="5" t="inlineStr">
        <is>
          <t>GF_V</t>
        </is>
      </c>
      <c r="AB61" s="5" t="inlineStr">
        <is>
          <t>GC_L</t>
        </is>
      </c>
      <c r="AC61" s="5" t="inlineStr">
        <is>
          <t>GC_V</t>
        </is>
      </c>
    </row>
    <row r="62">
      <c r="A62" s="34" t="n">
        <v>61</v>
      </c>
      <c r="B62" s="34" t="inlineStr">
        <is>
          <t>K</t>
        </is>
      </c>
      <c r="C62" s="34" t="inlineStr">
        <is>
          <t>Portugal</t>
        </is>
      </c>
      <c r="D62" s="34" t="inlineStr">
        <is>
          <t>RD Congo</t>
        </is>
      </c>
      <c r="E62" s="3" t="n">
        <v>3</v>
      </c>
      <c r="F62" s="3" t="n">
        <v>1</v>
      </c>
      <c r="G62" s="34">
        <f>IF(E62&gt;F62,"Local",IF(E62=F62,"Empate","Visitante"))</f>
        <v/>
      </c>
      <c r="H62" s="1">
        <f>E62-F62</f>
        <v/>
      </c>
      <c r="J62" s="34" t="inlineStr">
        <is>
          <t>K</t>
        </is>
      </c>
      <c r="K62" s="8" t="n">
        <v>1</v>
      </c>
      <c r="L62" s="34" t="inlineStr">
        <is>
          <t>Portugal</t>
        </is>
      </c>
      <c r="M62" s="3">
        <f>(Q62*3)+R62</f>
        <v/>
      </c>
      <c r="N62" s="3">
        <f>O62-P62</f>
        <v/>
      </c>
      <c r="O62" s="3">
        <f>Z62+AA62</f>
        <v/>
      </c>
      <c r="P62" s="3">
        <f>AB62+AC62</f>
        <v/>
      </c>
      <c r="Q62" s="34">
        <f>T62+U62</f>
        <v/>
      </c>
      <c r="R62" s="34">
        <f>V62+W62</f>
        <v/>
      </c>
      <c r="S62" s="9">
        <f>X62+Y62</f>
        <v/>
      </c>
      <c r="T62" s="34">
        <f>COUNTIFS(C:C,L62,G:G,"Local")</f>
        <v/>
      </c>
      <c r="U62" s="34">
        <f>COUNTIFS(D:D,L62,G:G,"Visitante")</f>
        <v/>
      </c>
      <c r="V62" s="34">
        <f>COUNTIFS(C:C,L62,G:G,"Empate")</f>
        <v/>
      </c>
      <c r="W62" s="34">
        <f>COUNTIFS(D:D,L62,G:G,"Empate")</f>
        <v/>
      </c>
      <c r="X62" s="34">
        <f>COUNTIFS(C:C,L62,G:G,"Visitante")</f>
        <v/>
      </c>
      <c r="Y62" s="34">
        <f>COUNTIFS(D:D,L62,G:G,"Local")</f>
        <v/>
      </c>
      <c r="Z62" s="34">
        <f>SUMIF(C:C,L62,E:E)</f>
        <v/>
      </c>
      <c r="AA62" s="34">
        <f>SUMIF(D:D,L62,F:F)</f>
        <v/>
      </c>
      <c r="AB62" s="34">
        <f>SUMIF(C:C,L62,F:F)</f>
        <v/>
      </c>
      <c r="AC62" s="34">
        <f>SUMIF(D:D,L62,E:E)</f>
        <v/>
      </c>
    </row>
    <row r="63">
      <c r="A63" s="34" t="n">
        <v>62</v>
      </c>
      <c r="B63" s="34" t="inlineStr">
        <is>
          <t>K</t>
        </is>
      </c>
      <c r="C63" s="34" t="inlineStr">
        <is>
          <t>Uzbekistán</t>
        </is>
      </c>
      <c r="D63" s="34" t="inlineStr">
        <is>
          <t>Colombia</t>
        </is>
      </c>
      <c r="E63" s="3" t="n">
        <v>0</v>
      </c>
      <c r="F63" s="3" t="n">
        <v>2</v>
      </c>
      <c r="G63" s="34">
        <f>IF(E63&gt;F63,"Local",IF(E63=F63,"Empate","Visitante"))</f>
        <v/>
      </c>
      <c r="H63" s="1">
        <f>E63-F63</f>
        <v/>
      </c>
      <c r="J63" s="32" t="n"/>
      <c r="K63" s="8" t="n">
        <v>2</v>
      </c>
      <c r="L63" s="34" t="inlineStr">
        <is>
          <t>Colombia</t>
        </is>
      </c>
      <c r="M63" s="3">
        <f>(Q63*3)+R63</f>
        <v/>
      </c>
      <c r="N63" s="3">
        <f>O63-P63</f>
        <v/>
      </c>
      <c r="O63" s="3">
        <f>Z63+AA63</f>
        <v/>
      </c>
      <c r="P63" s="3">
        <f>AB63+AC63</f>
        <v/>
      </c>
      <c r="Q63" s="34">
        <f>T63+U63</f>
        <v/>
      </c>
      <c r="R63" s="34">
        <f>V63+W63</f>
        <v/>
      </c>
      <c r="S63" s="9">
        <f>X63+Y63</f>
        <v/>
      </c>
      <c r="T63" s="34">
        <f>COUNTIFS(C:C,L63,G:G,"Local")</f>
        <v/>
      </c>
      <c r="U63" s="34">
        <f>COUNTIFS(D:D,L63,G:G,"Visitante")</f>
        <v/>
      </c>
      <c r="V63" s="34">
        <f>COUNTIFS(C:C,L63,G:G,"Empate")</f>
        <v/>
      </c>
      <c r="W63" s="34">
        <f>COUNTIFS(D:D,L63,G:G,"Empate")</f>
        <v/>
      </c>
      <c r="X63" s="34">
        <f>COUNTIFS(C:C,L63,G:G,"Visitante")</f>
        <v/>
      </c>
      <c r="Y63" s="34">
        <f>COUNTIFS(D:D,L63,G:G,"Local")</f>
        <v/>
      </c>
      <c r="Z63" s="34">
        <f>SUMIF(C:C,L63,E:E)</f>
        <v/>
      </c>
      <c r="AA63" s="34">
        <f>SUMIF(D:D,L63,F:F)</f>
        <v/>
      </c>
      <c r="AB63" s="34">
        <f>SUMIF(C:C,L63,F:F)</f>
        <v/>
      </c>
      <c r="AC63" s="34">
        <f>SUMIF(D:D,L63,E:E)</f>
        <v/>
      </c>
    </row>
    <row r="64">
      <c r="A64" s="34" t="n">
        <v>63</v>
      </c>
      <c r="B64" s="34" t="inlineStr">
        <is>
          <t>K</t>
        </is>
      </c>
      <c r="C64" s="34" t="inlineStr">
        <is>
          <t>Portugal</t>
        </is>
      </c>
      <c r="D64" s="34" t="inlineStr">
        <is>
          <t>Uzbekistán</t>
        </is>
      </c>
      <c r="E64" s="3" t="n">
        <v>3</v>
      </c>
      <c r="F64" s="3" t="n">
        <v>0</v>
      </c>
      <c r="G64" s="34">
        <f>IF(E64&gt;F64,"Local",IF(E64=F64,"Empate","Visitante"))</f>
        <v/>
      </c>
      <c r="H64" s="1">
        <f>E64-F64</f>
        <v/>
      </c>
      <c r="J64" s="32" t="n"/>
      <c r="K64" s="8" t="n">
        <v>3</v>
      </c>
      <c r="L64" s="34" t="inlineStr">
        <is>
          <t>RD Congo</t>
        </is>
      </c>
      <c r="M64" s="3">
        <f>(Q64*3)+R64</f>
        <v/>
      </c>
      <c r="N64" s="3">
        <f>O64-P64</f>
        <v/>
      </c>
      <c r="O64" s="3">
        <f>Z64+AA64</f>
        <v/>
      </c>
      <c r="P64" s="3">
        <f>AB64+AC64</f>
        <v/>
      </c>
      <c r="Q64" s="34">
        <f>T64+U64</f>
        <v/>
      </c>
      <c r="R64" s="34">
        <f>V64+W64</f>
        <v/>
      </c>
      <c r="S64" s="9">
        <f>X64+Y64</f>
        <v/>
      </c>
      <c r="T64" s="34">
        <f>COUNTIFS(C:C,L64,G:G,"Local")</f>
        <v/>
      </c>
      <c r="U64" s="34">
        <f>COUNTIFS(D:D,L64,G:G,"Visitante")</f>
        <v/>
      </c>
      <c r="V64" s="34">
        <f>COUNTIFS(C:C,L64,G:G,"Empate")</f>
        <v/>
      </c>
      <c r="W64" s="34">
        <f>COUNTIFS(D:D,L64,G:G,"Empate")</f>
        <v/>
      </c>
      <c r="X64" s="34">
        <f>COUNTIFS(C:C,L64,G:G,"Visitante")</f>
        <v/>
      </c>
      <c r="Y64" s="34">
        <f>COUNTIFS(D:D,L64,G:G,"Local")</f>
        <v/>
      </c>
      <c r="Z64" s="34">
        <f>SUMIF(C:C,L64,E:E)</f>
        <v/>
      </c>
      <c r="AA64" s="34">
        <f>SUMIF(D:D,L64,F:F)</f>
        <v/>
      </c>
      <c r="AB64" s="34">
        <f>SUMIF(C:C,L64,F:F)</f>
        <v/>
      </c>
      <c r="AC64" s="34">
        <f>SUMIF(D:D,L64,E:E)</f>
        <v/>
      </c>
    </row>
    <row r="65">
      <c r="A65" s="34" t="n">
        <v>64</v>
      </c>
      <c r="B65" s="34" t="inlineStr">
        <is>
          <t>K</t>
        </is>
      </c>
      <c r="C65" s="34" t="inlineStr">
        <is>
          <t>Colombia</t>
        </is>
      </c>
      <c r="D65" s="34" t="inlineStr">
        <is>
          <t>RD Congo</t>
        </is>
      </c>
      <c r="E65" s="3" t="n">
        <v>2</v>
      </c>
      <c r="F65" s="3" t="n">
        <v>0</v>
      </c>
      <c r="G65" s="34">
        <f>IF(E65&gt;F65,"Local",IF(E65=F65,"Empate","Visitante"))</f>
        <v/>
      </c>
      <c r="H65" s="1">
        <f>E65-F65</f>
        <v/>
      </c>
      <c r="J65" s="33" t="n"/>
      <c r="K65" s="10" t="n">
        <v>4</v>
      </c>
      <c r="L65" s="4" t="inlineStr">
        <is>
          <t>Uzbekistán</t>
        </is>
      </c>
      <c r="M65" s="11">
        <f>(Q65*3)+R65</f>
        <v/>
      </c>
      <c r="N65" s="11">
        <f>O65-P65</f>
        <v/>
      </c>
      <c r="O65" s="11">
        <f>Z65+AA65</f>
        <v/>
      </c>
      <c r="P65" s="11">
        <f>AB65+AC65</f>
        <v/>
      </c>
      <c r="Q65" s="4">
        <f>T65+U65</f>
        <v/>
      </c>
      <c r="R65" s="4">
        <f>V65+W65</f>
        <v/>
      </c>
      <c r="S65" s="12">
        <f>X65+Y65</f>
        <v/>
      </c>
      <c r="T65" s="34">
        <f>COUNTIFS(C:C,L65,G:G,"Local")</f>
        <v/>
      </c>
      <c r="U65" s="34">
        <f>COUNTIFS(D:D,L65,G:G,"Visitante")</f>
        <v/>
      </c>
      <c r="V65" s="34">
        <f>COUNTIFS(C:C,L65,G:G,"Empate")</f>
        <v/>
      </c>
      <c r="W65" s="34">
        <f>COUNTIFS(D:D,L65,G:G,"Empate")</f>
        <v/>
      </c>
      <c r="X65" s="34">
        <f>COUNTIFS(C:C,L65,G:G,"Visitante")</f>
        <v/>
      </c>
      <c r="Y65" s="34">
        <f>COUNTIFS(D:D,L65,G:G,"Local")</f>
        <v/>
      </c>
      <c r="Z65" s="34">
        <f>SUMIF(C:C,L65,E:E)</f>
        <v/>
      </c>
      <c r="AA65" s="34">
        <f>SUMIF(D:D,L65,F:F)</f>
        <v/>
      </c>
      <c r="AB65" s="34">
        <f>SUMIF(C:C,L65,F:F)</f>
        <v/>
      </c>
      <c r="AC65" s="34">
        <f>SUMIF(D:D,L65,E:E)</f>
        <v/>
      </c>
    </row>
    <row r="66">
      <c r="A66" s="34" t="n">
        <v>65</v>
      </c>
      <c r="B66" s="34" t="inlineStr">
        <is>
          <t>K</t>
        </is>
      </c>
      <c r="C66" s="34" t="inlineStr">
        <is>
          <t>Colombia</t>
        </is>
      </c>
      <c r="D66" s="34" t="inlineStr">
        <is>
          <t>Portugal</t>
        </is>
      </c>
      <c r="E66" s="3" t="n">
        <v>2</v>
      </c>
      <c r="F66" s="3" t="n">
        <v>2</v>
      </c>
      <c r="G66" s="34">
        <f>IF(E66&gt;F66,"Local",IF(E66=F66,"Empate","Visitante"))</f>
        <v/>
      </c>
      <c r="H66" s="1">
        <f>E66-F66</f>
        <v/>
      </c>
    </row>
    <row r="67">
      <c r="A67" s="34" t="n">
        <v>66</v>
      </c>
      <c r="B67" s="34" t="inlineStr">
        <is>
          <t>K</t>
        </is>
      </c>
      <c r="C67" s="34" t="inlineStr">
        <is>
          <t>RD Congo</t>
        </is>
      </c>
      <c r="D67" s="34" t="inlineStr">
        <is>
          <t>Uzbekistán</t>
        </is>
      </c>
      <c r="E67" s="3" t="n">
        <v>1</v>
      </c>
      <c r="F67" s="3" t="n">
        <v>0</v>
      </c>
      <c r="G67" s="34">
        <f>IF(E67&gt;F67,"Local",IF(E67=F67,"Empate","Visitante"))</f>
        <v/>
      </c>
      <c r="H67" s="1">
        <f>E67-F67</f>
        <v/>
      </c>
      <c r="J67" s="6" t="inlineStr">
        <is>
          <t>Grupo</t>
        </is>
      </c>
      <c r="K67" s="7" t="inlineStr">
        <is>
          <t>Posición</t>
        </is>
      </c>
      <c r="L67" s="34" t="inlineStr">
        <is>
          <t>Equipo</t>
        </is>
      </c>
      <c r="M67" s="34" t="inlineStr">
        <is>
          <t>Puntos</t>
        </is>
      </c>
      <c r="N67" s="34" t="inlineStr">
        <is>
          <t>Diferencia</t>
        </is>
      </c>
      <c r="O67" s="34" t="inlineStr">
        <is>
          <t>GF</t>
        </is>
      </c>
      <c r="P67" s="5" t="inlineStr">
        <is>
          <t>GC</t>
        </is>
      </c>
      <c r="Q67" s="5" t="inlineStr">
        <is>
          <t>Victorias</t>
        </is>
      </c>
      <c r="R67" s="5" t="inlineStr">
        <is>
          <t>Empates</t>
        </is>
      </c>
      <c r="S67" s="7" t="inlineStr">
        <is>
          <t>Derrotas</t>
        </is>
      </c>
      <c r="T67" s="5" t="inlineStr">
        <is>
          <t>Victorias_L</t>
        </is>
      </c>
      <c r="U67" s="5" t="inlineStr">
        <is>
          <t>Victorias_V</t>
        </is>
      </c>
      <c r="V67" s="5" t="inlineStr">
        <is>
          <t>Empates_L</t>
        </is>
      </c>
      <c r="W67" s="5" t="inlineStr">
        <is>
          <t>Empates_V</t>
        </is>
      </c>
      <c r="X67" s="5" t="inlineStr">
        <is>
          <t>Derrotas_L</t>
        </is>
      </c>
      <c r="Y67" s="5" t="inlineStr">
        <is>
          <t>Derrotas_V</t>
        </is>
      </c>
      <c r="Z67" s="5" t="inlineStr">
        <is>
          <t>GF_L</t>
        </is>
      </c>
      <c r="AA67" s="5" t="inlineStr">
        <is>
          <t>GF_V</t>
        </is>
      </c>
      <c r="AB67" s="5" t="inlineStr">
        <is>
          <t>GC_L</t>
        </is>
      </c>
      <c r="AC67" s="5" t="inlineStr">
        <is>
          <t>GC_V</t>
        </is>
      </c>
    </row>
    <row r="68">
      <c r="A68" s="34" t="n">
        <v>67</v>
      </c>
      <c r="B68" s="34" t="inlineStr">
        <is>
          <t>L</t>
        </is>
      </c>
      <c r="C68" s="34" t="inlineStr">
        <is>
          <t>Inglaterra</t>
        </is>
      </c>
      <c r="D68" s="34" t="inlineStr">
        <is>
          <t>Croacia</t>
        </is>
      </c>
      <c r="E68" s="3" t="n">
        <v>2</v>
      </c>
      <c r="F68" s="3" t="n">
        <v>1</v>
      </c>
      <c r="G68" s="34">
        <f>IF(E68&gt;F68,"Local",IF(E68=F68,"Empate","Visitante"))</f>
        <v/>
      </c>
      <c r="H68" s="1">
        <f>E68-F68</f>
        <v/>
      </c>
      <c r="J68" s="34" t="inlineStr">
        <is>
          <t>L</t>
        </is>
      </c>
      <c r="K68" s="8" t="n">
        <v>1</v>
      </c>
      <c r="L68" s="34" t="inlineStr">
        <is>
          <t>Inglaterra</t>
        </is>
      </c>
      <c r="M68" s="3">
        <f>(Q68*3)+R68</f>
        <v/>
      </c>
      <c r="N68" s="3">
        <f>O68-P68</f>
        <v/>
      </c>
      <c r="O68" s="3">
        <f>Z68+AA68</f>
        <v/>
      </c>
      <c r="P68" s="3">
        <f>AB68+AC68</f>
        <v/>
      </c>
      <c r="Q68" s="34">
        <f>T68+U68</f>
        <v/>
      </c>
      <c r="R68" s="34">
        <f>V68+W68</f>
        <v/>
      </c>
      <c r="S68" s="9">
        <f>X68+Y68</f>
        <v/>
      </c>
      <c r="T68" s="34">
        <f>COUNTIFS(C:C,L68,G:G,"Local")</f>
        <v/>
      </c>
      <c r="U68" s="34">
        <f>COUNTIFS(D:D,L68,G:G,"Visitante")</f>
        <v/>
      </c>
      <c r="V68" s="34">
        <f>COUNTIFS(C:C,L68,G:G,"Empate")</f>
        <v/>
      </c>
      <c r="W68" s="34">
        <f>COUNTIFS(D:D,L68,G:G,"Empate")</f>
        <v/>
      </c>
      <c r="X68" s="34">
        <f>COUNTIFS(C:C,L68,G:G,"Visitante")</f>
        <v/>
      </c>
      <c r="Y68" s="34">
        <f>COUNTIFS(D:D,L68,G:G,"Local")</f>
        <v/>
      </c>
      <c r="Z68" s="34">
        <f>SUMIF(C:C,L68,E:E)</f>
        <v/>
      </c>
      <c r="AA68" s="34">
        <f>SUMIF(D:D,L68,F:F)</f>
        <v/>
      </c>
      <c r="AB68" s="34">
        <f>SUMIF(C:C,L68,F:F)</f>
        <v/>
      </c>
      <c r="AC68" s="34">
        <f>SUMIF(D:D,L68,E:E)</f>
        <v/>
      </c>
    </row>
    <row r="69">
      <c r="A69" s="34" t="n">
        <v>68</v>
      </c>
      <c r="B69" s="34" t="inlineStr">
        <is>
          <t>L</t>
        </is>
      </c>
      <c r="C69" s="34" t="inlineStr">
        <is>
          <t>Ghana</t>
        </is>
      </c>
      <c r="D69" s="34" t="inlineStr">
        <is>
          <t>Panamá</t>
        </is>
      </c>
      <c r="E69" s="3" t="n">
        <v>2</v>
      </c>
      <c r="F69" s="3" t="n">
        <v>0</v>
      </c>
      <c r="G69" s="34">
        <f>IF(E69&gt;F69,"Local",IF(E69=F69,"Empate","Visitante"))</f>
        <v/>
      </c>
      <c r="H69" s="1">
        <f>E69-F69</f>
        <v/>
      </c>
      <c r="J69" s="32" t="n"/>
      <c r="K69" s="8" t="n">
        <v>2</v>
      </c>
      <c r="L69" s="34" t="inlineStr">
        <is>
          <t>Croacia</t>
        </is>
      </c>
      <c r="M69" s="3">
        <f>(Q69*3)+R69</f>
        <v/>
      </c>
      <c r="N69" s="3">
        <f>O69-P69</f>
        <v/>
      </c>
      <c r="O69" s="3">
        <f>Z69+AA69</f>
        <v/>
      </c>
      <c r="P69" s="3">
        <f>AB69+AC69</f>
        <v/>
      </c>
      <c r="Q69" s="34">
        <f>T69+U69</f>
        <v/>
      </c>
      <c r="R69" s="34">
        <f>V69+W69</f>
        <v/>
      </c>
      <c r="S69" s="9">
        <f>X69+Y69</f>
        <v/>
      </c>
      <c r="T69" s="34">
        <f>COUNTIFS(C:C,L69,G:G,"Local")</f>
        <v/>
      </c>
      <c r="U69" s="34">
        <f>COUNTIFS(D:D,L69,G:G,"Visitante")</f>
        <v/>
      </c>
      <c r="V69" s="34">
        <f>COUNTIFS(C:C,L69,G:G,"Empate")</f>
        <v/>
      </c>
      <c r="W69" s="34">
        <f>COUNTIFS(D:D,L69,G:G,"Empate")</f>
        <v/>
      </c>
      <c r="X69" s="34">
        <f>COUNTIFS(C:C,L69,G:G,"Visitante")</f>
        <v/>
      </c>
      <c r="Y69" s="34">
        <f>COUNTIFS(D:D,L69,G:G,"Local")</f>
        <v/>
      </c>
      <c r="Z69" s="34">
        <f>SUMIF(C:C,L69,E:E)</f>
        <v/>
      </c>
      <c r="AA69" s="34">
        <f>SUMIF(D:D,L69,F:F)</f>
        <v/>
      </c>
      <c r="AB69" s="34">
        <f>SUMIF(C:C,L69,F:F)</f>
        <v/>
      </c>
      <c r="AC69" s="34">
        <f>SUMIF(D:D,L69,E:E)</f>
        <v/>
      </c>
    </row>
    <row r="70">
      <c r="A70" s="34" t="n">
        <v>69</v>
      </c>
      <c r="B70" s="34" t="inlineStr">
        <is>
          <t>L</t>
        </is>
      </c>
      <c r="C70" s="34" t="inlineStr">
        <is>
          <t>Inglaterra</t>
        </is>
      </c>
      <c r="D70" s="34" t="inlineStr">
        <is>
          <t>Ghana</t>
        </is>
      </c>
      <c r="E70" s="3" t="n">
        <v>3</v>
      </c>
      <c r="F70" s="3" t="n">
        <v>1</v>
      </c>
      <c r="G70" s="34">
        <f>IF(E70&gt;F70,"Local",IF(E70=F70,"Empate","Visitante"))</f>
        <v/>
      </c>
      <c r="H70" s="1">
        <f>E70-F70</f>
        <v/>
      </c>
      <c r="J70" s="32" t="n"/>
      <c r="K70" s="8" t="n">
        <v>3</v>
      </c>
      <c r="L70" s="34" t="inlineStr">
        <is>
          <t>Ghana</t>
        </is>
      </c>
      <c r="M70" s="3">
        <f>(Q70*3)+R70</f>
        <v/>
      </c>
      <c r="N70" s="3">
        <f>O70-P70</f>
        <v/>
      </c>
      <c r="O70" s="3">
        <f>Z70+AA70</f>
        <v/>
      </c>
      <c r="P70" s="3">
        <f>AB70+AC70</f>
        <v/>
      </c>
      <c r="Q70" s="34">
        <f>T70+U70</f>
        <v/>
      </c>
      <c r="R70" s="34">
        <f>V70+W70</f>
        <v/>
      </c>
      <c r="S70" s="9">
        <f>X70+Y70</f>
        <v/>
      </c>
      <c r="T70" s="34">
        <f>COUNTIFS(C:C,L70,G:G,"Local")</f>
        <v/>
      </c>
      <c r="U70" s="34">
        <f>COUNTIFS(D:D,L70,G:G,"Visitante")</f>
        <v/>
      </c>
      <c r="V70" s="34">
        <f>COUNTIFS(C:C,L70,G:G,"Empate")</f>
        <v/>
      </c>
      <c r="W70" s="34">
        <f>COUNTIFS(D:D,L70,G:G,"Empate")</f>
        <v/>
      </c>
      <c r="X70" s="34">
        <f>COUNTIFS(C:C,L70,G:G,"Visitante")</f>
        <v/>
      </c>
      <c r="Y70" s="34">
        <f>COUNTIFS(D:D,L70,G:G,"Local")</f>
        <v/>
      </c>
      <c r="Z70" s="34">
        <f>SUMIF(C:C,L70,E:E)</f>
        <v/>
      </c>
      <c r="AA70" s="34">
        <f>SUMIF(D:D,L70,F:F)</f>
        <v/>
      </c>
      <c r="AB70" s="34">
        <f>SUMIF(C:C,L70,F:F)</f>
        <v/>
      </c>
      <c r="AC70" s="34">
        <f>SUMIF(D:D,L70,E:E)</f>
        <v/>
      </c>
    </row>
    <row r="71">
      <c r="A71" s="34" t="n">
        <v>70</v>
      </c>
      <c r="B71" s="34" t="inlineStr">
        <is>
          <t>L</t>
        </is>
      </c>
      <c r="C71" s="34" t="inlineStr">
        <is>
          <t>Panamá</t>
        </is>
      </c>
      <c r="D71" s="34" t="inlineStr">
        <is>
          <t>Croacia</t>
        </is>
      </c>
      <c r="E71" s="3" t="n">
        <v>0</v>
      </c>
      <c r="F71" s="3" t="n">
        <v>2</v>
      </c>
      <c r="G71" s="34">
        <f>IF(E71&gt;F71,"Local",IF(E71=F71,"Empate","Visitante"))</f>
        <v/>
      </c>
      <c r="H71" s="1">
        <f>E71-F71</f>
        <v/>
      </c>
      <c r="J71" s="33" t="n"/>
      <c r="K71" s="10" t="n">
        <v>4</v>
      </c>
      <c r="L71" s="4" t="inlineStr">
        <is>
          <t>Panamá</t>
        </is>
      </c>
      <c r="M71" s="11">
        <f>(Q71*3)+R71</f>
        <v/>
      </c>
      <c r="N71" s="11">
        <f>O71-P71</f>
        <v/>
      </c>
      <c r="O71" s="11">
        <f>Z71+AA71</f>
        <v/>
      </c>
      <c r="P71" s="11">
        <f>AB71+AC71</f>
        <v/>
      </c>
      <c r="Q71" s="4">
        <f>T71+U71</f>
        <v/>
      </c>
      <c r="R71" s="4">
        <f>V71+W71</f>
        <v/>
      </c>
      <c r="S71" s="12">
        <f>X71+Y71</f>
        <v/>
      </c>
      <c r="T71" s="34">
        <f>COUNTIFS(C:C,L71,G:G,"Local")</f>
        <v/>
      </c>
      <c r="U71" s="34">
        <f>COUNTIFS(D:D,L71,G:G,"Visitante")</f>
        <v/>
      </c>
      <c r="V71" s="34">
        <f>COUNTIFS(C:C,L71,G:G,"Empate")</f>
        <v/>
      </c>
      <c r="W71" s="34">
        <f>COUNTIFS(D:D,L71,G:G,"Empate")</f>
        <v/>
      </c>
      <c r="X71" s="34">
        <f>COUNTIFS(C:C,L71,G:G,"Visitante")</f>
        <v/>
      </c>
      <c r="Y71" s="34">
        <f>COUNTIFS(D:D,L71,G:G,"Local")</f>
        <v/>
      </c>
      <c r="Z71" s="34">
        <f>SUMIF(C:C,L71,E:E)</f>
        <v/>
      </c>
      <c r="AA71" s="34">
        <f>SUMIF(D:D,L71,F:F)</f>
        <v/>
      </c>
      <c r="AB71" s="34">
        <f>SUMIF(C:C,L71,F:F)</f>
        <v/>
      </c>
      <c r="AC71" s="34">
        <f>SUMIF(D:D,L71,E:E)</f>
        <v/>
      </c>
    </row>
    <row r="72">
      <c r="A72" s="34" t="n">
        <v>71</v>
      </c>
      <c r="B72" s="34" t="inlineStr">
        <is>
          <t>L</t>
        </is>
      </c>
      <c r="C72" s="34" t="inlineStr">
        <is>
          <t>Panamá</t>
        </is>
      </c>
      <c r="D72" s="34" t="inlineStr">
        <is>
          <t>Inglaterra</t>
        </is>
      </c>
      <c r="E72" s="3" t="n">
        <v>0</v>
      </c>
      <c r="F72" s="3" t="n">
        <v>2</v>
      </c>
      <c r="G72" s="34">
        <f>IF(E72&gt;F72,"Local",IF(E72=F72,"Empate","Visitante"))</f>
        <v/>
      </c>
      <c r="H72" s="1">
        <f>E72-F72</f>
        <v/>
      </c>
    </row>
    <row r="73">
      <c r="A73" s="34" t="n">
        <v>72</v>
      </c>
      <c r="B73" s="34" t="inlineStr">
        <is>
          <t>L</t>
        </is>
      </c>
      <c r="C73" s="34" t="inlineStr">
        <is>
          <t>Croacia</t>
        </is>
      </c>
      <c r="D73" s="34" t="inlineStr">
        <is>
          <t>Ghana</t>
        </is>
      </c>
      <c r="E73" s="3" t="n">
        <v>2</v>
      </c>
      <c r="F73" s="3" t="n">
        <v>1</v>
      </c>
      <c r="G73" s="34">
        <f>IF(E73&gt;F73,"Local",IF(E73=F73,"Empate","Visitante"))</f>
        <v/>
      </c>
      <c r="H73" s="1">
        <f>E73-F73</f>
        <v/>
      </c>
    </row>
    <row r="75">
      <c r="I75" s="31" t="inlineStr">
        <is>
          <t>Clasificación Terceros</t>
        </is>
      </c>
      <c r="J75" s="7" t="inlineStr">
        <is>
          <t>Grupo</t>
        </is>
      </c>
      <c r="K75" s="6" t="inlineStr">
        <is>
          <t>Posición</t>
        </is>
      </c>
      <c r="L75" s="34" t="inlineStr">
        <is>
          <t>Equipo</t>
        </is>
      </c>
      <c r="M75" s="34" t="inlineStr">
        <is>
          <t>Puntos</t>
        </is>
      </c>
      <c r="N75" s="34" t="inlineStr">
        <is>
          <t>Diferencia</t>
        </is>
      </c>
      <c r="O75" s="34" t="inlineStr">
        <is>
          <t>GF</t>
        </is>
      </c>
      <c r="P75" s="5" t="inlineStr">
        <is>
          <t>GC</t>
        </is>
      </c>
      <c r="Q75" s="5" t="inlineStr">
        <is>
          <t>Victorias</t>
        </is>
      </c>
      <c r="R75" s="5" t="inlineStr">
        <is>
          <t>Empates</t>
        </is>
      </c>
      <c r="S75" s="7" t="inlineStr">
        <is>
          <t>Derrotas</t>
        </is>
      </c>
    </row>
    <row r="76">
      <c r="I76" s="32" t="n"/>
      <c r="J76" s="8" t="inlineStr">
        <is>
          <t>E</t>
        </is>
      </c>
      <c r="K76" s="34" t="n">
        <v>1</v>
      </c>
      <c r="L76" s="34" t="inlineStr">
        <is>
          <t>Costa de Marfil</t>
        </is>
      </c>
      <c r="M76" s="3" t="n">
        <v>4</v>
      </c>
      <c r="N76" s="3" t="n">
        <v>1</v>
      </c>
      <c r="O76" s="3" t="n">
        <v>5</v>
      </c>
      <c r="P76" s="3" t="n">
        <v>4</v>
      </c>
      <c r="Q76" s="34" t="n">
        <v>1</v>
      </c>
      <c r="R76" s="34" t="n">
        <v>1</v>
      </c>
      <c r="S76" s="9" t="n">
        <v>1</v>
      </c>
    </row>
    <row r="77">
      <c r="I77" s="32" t="n"/>
      <c r="J77" s="8" t="inlineStr">
        <is>
          <t>A</t>
        </is>
      </c>
      <c r="K77" s="34" t="n">
        <v>2</v>
      </c>
      <c r="L77" s="34" t="inlineStr">
        <is>
          <t>Corea del Sur</t>
        </is>
      </c>
      <c r="M77" s="3" t="n">
        <v>4</v>
      </c>
      <c r="N77" s="3" t="n">
        <v>0</v>
      </c>
      <c r="O77" s="3" t="n">
        <v>4</v>
      </c>
      <c r="P77" s="3" t="n">
        <v>4</v>
      </c>
      <c r="Q77" s="34" t="n">
        <v>1</v>
      </c>
      <c r="R77" s="34" t="n">
        <v>1</v>
      </c>
      <c r="S77" s="9" t="n">
        <v>1</v>
      </c>
    </row>
    <row r="78">
      <c r="I78" s="32" t="n"/>
      <c r="J78" s="8" t="inlineStr">
        <is>
          <t>F</t>
        </is>
      </c>
      <c r="K78" s="34" t="n">
        <v>3</v>
      </c>
      <c r="L78" s="34" t="inlineStr">
        <is>
          <t>Suecia</t>
        </is>
      </c>
      <c r="M78" s="3" t="n">
        <v>4</v>
      </c>
      <c r="N78" s="3" t="n">
        <v>0</v>
      </c>
      <c r="O78" s="3" t="n">
        <v>3</v>
      </c>
      <c r="P78" s="3" t="n">
        <v>3</v>
      </c>
      <c r="Q78" s="34" t="n">
        <v>1</v>
      </c>
      <c r="R78" s="34" t="n">
        <v>1</v>
      </c>
      <c r="S78" s="9" t="n">
        <v>1</v>
      </c>
    </row>
    <row r="79">
      <c r="I79" s="32" t="n"/>
      <c r="J79" s="8" t="inlineStr">
        <is>
          <t>J</t>
        </is>
      </c>
      <c r="K79" s="34" t="n">
        <v>4</v>
      </c>
      <c r="L79" s="34" t="inlineStr">
        <is>
          <t>Argelia</t>
        </is>
      </c>
      <c r="M79" s="3" t="n">
        <v>4</v>
      </c>
      <c r="N79" s="3" t="n">
        <v>0</v>
      </c>
      <c r="O79" s="3" t="n">
        <v>3</v>
      </c>
      <c r="P79" s="3" t="n">
        <v>3</v>
      </c>
      <c r="Q79" s="34" t="n">
        <v>1</v>
      </c>
      <c r="R79" s="34" t="n">
        <v>1</v>
      </c>
      <c r="S79" s="9" t="n">
        <v>1</v>
      </c>
    </row>
    <row r="80">
      <c r="I80" s="32" t="n"/>
      <c r="J80" s="8" t="inlineStr">
        <is>
          <t>I</t>
        </is>
      </c>
      <c r="K80" s="34" t="n">
        <v>5</v>
      </c>
      <c r="L80" s="34" t="inlineStr">
        <is>
          <t>Senegal</t>
        </is>
      </c>
      <c r="M80" s="3" t="n">
        <v>3</v>
      </c>
      <c r="N80" s="3" t="n">
        <v>0</v>
      </c>
      <c r="O80" s="3" t="n">
        <v>4</v>
      </c>
      <c r="P80" s="3" t="n">
        <v>4</v>
      </c>
      <c r="Q80" s="34" t="n">
        <v>1</v>
      </c>
      <c r="R80" s="34" t="n">
        <v>0</v>
      </c>
      <c r="S80" s="9" t="n">
        <v>2</v>
      </c>
    </row>
    <row r="81">
      <c r="I81" s="32" t="n"/>
      <c r="J81" s="8" t="inlineStr">
        <is>
          <t>G</t>
        </is>
      </c>
      <c r="K81" s="34" t="n">
        <v>6</v>
      </c>
      <c r="L81" s="34" t="inlineStr">
        <is>
          <t>Irán</t>
        </is>
      </c>
      <c r="M81" s="3" t="n">
        <v>3</v>
      </c>
      <c r="N81" s="3" t="n">
        <v>0</v>
      </c>
      <c r="O81" s="3" t="n">
        <v>3</v>
      </c>
      <c r="P81" s="3" t="n">
        <v>3</v>
      </c>
      <c r="Q81" s="34" t="n">
        <v>1</v>
      </c>
      <c r="R81" s="34" t="n">
        <v>0</v>
      </c>
      <c r="S81" s="9" t="n">
        <v>2</v>
      </c>
    </row>
    <row r="82">
      <c r="I82" s="32" t="n"/>
      <c r="J82" s="8" t="inlineStr">
        <is>
          <t>C</t>
        </is>
      </c>
      <c r="K82" s="34" t="n">
        <v>7</v>
      </c>
      <c r="L82" s="34" t="inlineStr">
        <is>
          <t>Escocia</t>
        </is>
      </c>
      <c r="M82" s="3" t="n">
        <v>3</v>
      </c>
      <c r="N82" s="3" t="n">
        <v>-1</v>
      </c>
      <c r="O82" s="3" t="n">
        <v>4</v>
      </c>
      <c r="P82" s="3" t="n">
        <v>5</v>
      </c>
      <c r="Q82" s="34" t="n">
        <v>1</v>
      </c>
      <c r="R82" s="34" t="n">
        <v>0</v>
      </c>
      <c r="S82" s="9" t="n">
        <v>2</v>
      </c>
    </row>
    <row r="83">
      <c r="I83" s="32" t="n"/>
      <c r="J83" s="8" t="inlineStr">
        <is>
          <t>L</t>
        </is>
      </c>
      <c r="K83" s="34" t="n">
        <v>8</v>
      </c>
      <c r="L83" s="34" t="inlineStr">
        <is>
          <t>Ghana</t>
        </is>
      </c>
      <c r="M83" s="3" t="n">
        <v>3</v>
      </c>
      <c r="N83" s="3" t="n">
        <v>-1</v>
      </c>
      <c r="O83" s="3" t="n">
        <v>4</v>
      </c>
      <c r="P83" s="3" t="n">
        <v>5</v>
      </c>
      <c r="Q83" s="34" t="n">
        <v>1</v>
      </c>
      <c r="R83" s="34" t="n">
        <v>0</v>
      </c>
      <c r="S83" s="9" t="n">
        <v>2</v>
      </c>
    </row>
    <row r="84">
      <c r="I84" s="32" t="n"/>
      <c r="J84" s="8" t="inlineStr">
        <is>
          <t>D</t>
        </is>
      </c>
      <c r="K84" s="34" t="n">
        <v>9</v>
      </c>
      <c r="L84" s="34" t="inlineStr">
        <is>
          <t>Estados Unidos</t>
        </is>
      </c>
      <c r="M84" s="3" t="n">
        <v>3</v>
      </c>
      <c r="N84" s="3" t="n">
        <v>-2</v>
      </c>
      <c r="O84" s="3" t="n">
        <v>4</v>
      </c>
      <c r="P84" s="3" t="n">
        <v>6</v>
      </c>
      <c r="Q84" s="34" t="n">
        <v>1</v>
      </c>
      <c r="R84" s="34" t="n">
        <v>0</v>
      </c>
      <c r="S84" s="9" t="n">
        <v>2</v>
      </c>
    </row>
    <row r="85">
      <c r="I85" s="32" t="n"/>
      <c r="J85" s="8" t="inlineStr">
        <is>
          <t>B</t>
        </is>
      </c>
      <c r="K85" s="34" t="n">
        <v>10</v>
      </c>
      <c r="L85" s="34" t="inlineStr">
        <is>
          <t>Bosnia y Herzegovina</t>
        </is>
      </c>
      <c r="M85" s="3" t="n">
        <v>3</v>
      </c>
      <c r="N85" s="3" t="n">
        <v>-2</v>
      </c>
      <c r="O85" s="3" t="n">
        <v>3</v>
      </c>
      <c r="P85" s="3" t="n">
        <v>5</v>
      </c>
      <c r="Q85" s="34" t="n">
        <v>1</v>
      </c>
      <c r="R85" s="34" t="n">
        <v>0</v>
      </c>
      <c r="S85" s="9" t="n">
        <v>2</v>
      </c>
    </row>
    <row r="86">
      <c r="I86" s="32" t="n"/>
      <c r="J86" s="8" t="inlineStr">
        <is>
          <t>H</t>
        </is>
      </c>
      <c r="K86" s="34" t="n">
        <v>11</v>
      </c>
      <c r="L86" s="34" t="inlineStr">
        <is>
          <t>Arabia Saudí</t>
        </is>
      </c>
      <c r="M86" s="3" t="n">
        <v>3</v>
      </c>
      <c r="N86" s="3" t="n">
        <v>-3</v>
      </c>
      <c r="O86" s="3" t="n">
        <v>3</v>
      </c>
      <c r="P86" s="3" t="n">
        <v>6</v>
      </c>
      <c r="Q86" s="34" t="n">
        <v>1</v>
      </c>
      <c r="R86" s="34" t="n">
        <v>0</v>
      </c>
      <c r="S86" s="9" t="n">
        <v>2</v>
      </c>
    </row>
    <row r="87">
      <c r="I87" s="33" t="n"/>
      <c r="J87" s="10" t="inlineStr">
        <is>
          <t>K</t>
        </is>
      </c>
      <c r="K87" s="4" t="n">
        <v>12</v>
      </c>
      <c r="L87" s="4" t="inlineStr">
        <is>
          <t>RD Congo</t>
        </is>
      </c>
      <c r="M87" s="11" t="n">
        <v>3</v>
      </c>
      <c r="N87" s="11" t="n">
        <v>-3</v>
      </c>
      <c r="O87" s="11" t="n">
        <v>2</v>
      </c>
      <c r="P87" s="11" t="n">
        <v>5</v>
      </c>
      <c r="Q87" s="4" t="n">
        <v>1</v>
      </c>
      <c r="R87" s="4" t="n">
        <v>0</v>
      </c>
      <c r="S87" s="12" t="n">
        <v>2</v>
      </c>
    </row>
  </sheetData>
  <mergeCells count="13">
    <mergeCell ref="J32:J35"/>
    <mergeCell ref="J26:J29"/>
    <mergeCell ref="J56:J59"/>
    <mergeCell ref="J68:J71"/>
    <mergeCell ref="J8:J11"/>
    <mergeCell ref="J2:J5"/>
    <mergeCell ref="J20:J23"/>
    <mergeCell ref="J50:J53"/>
    <mergeCell ref="J38:J41"/>
    <mergeCell ref="J14:J17"/>
    <mergeCell ref="J44:J47"/>
    <mergeCell ref="J62:J65"/>
    <mergeCell ref="I75:I87"/>
  </mergeCells>
  <pageMargins left="0.7" right="0.7" top="0.75" bottom="0.75" header="0.3" footer="0.3"/>
  <pageSetup orientation="portrait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C2" sqref="C2"/>
    </sheetView>
  </sheetViews>
  <sheetFormatPr baseColWidth="10" defaultRowHeight="15"/>
  <cols>
    <col width="15.5" bestFit="1" customWidth="1" min="3" max="3"/>
  </cols>
  <sheetData>
    <row r="1">
      <c r="A1" s="35" t="inlineStr">
        <is>
          <t>Dieciseisavos</t>
        </is>
      </c>
      <c r="B1" s="28" t="n"/>
      <c r="C1" s="29" t="n"/>
      <c r="D1" s="35" t="inlineStr">
        <is>
          <t>Octavos</t>
        </is>
      </c>
      <c r="E1" s="28" t="n"/>
      <c r="F1" s="29" t="n"/>
      <c r="G1" s="35" t="inlineStr">
        <is>
          <t>Cuartos</t>
        </is>
      </c>
      <c r="H1" s="28" t="n"/>
      <c r="I1" s="29" t="n"/>
      <c r="J1" s="35" t="inlineStr">
        <is>
          <t>Semifinal</t>
        </is>
      </c>
      <c r="K1" s="28" t="n"/>
      <c r="L1" s="29" t="n"/>
      <c r="M1" s="35" t="inlineStr">
        <is>
          <t>Tercero puesto</t>
        </is>
      </c>
      <c r="N1" s="28" t="n"/>
      <c r="O1" s="29" t="n"/>
      <c r="P1" s="35" t="inlineStr">
        <is>
          <t>Final</t>
        </is>
      </c>
      <c r="Q1" s="28" t="n"/>
      <c r="R1" s="29" t="n"/>
      <c r="S1" s="35" t="inlineStr">
        <is>
          <t>Tercero</t>
        </is>
      </c>
      <c r="T1" s="35" t="inlineStr">
        <is>
          <t>Campeón</t>
        </is>
      </c>
      <c r="U1" s="1" t="n"/>
    </row>
    <row r="2">
      <c r="A2" s="35" t="n">
        <v>74</v>
      </c>
      <c r="B2" s="35" t="inlineStr">
        <is>
          <t>1E</t>
        </is>
      </c>
      <c r="C2" s="3" t="inlineStr">
        <is>
          <t>Alemania</t>
        </is>
      </c>
      <c r="D2" s="35" t="n">
        <v>89</v>
      </c>
      <c r="E2" s="35" t="inlineStr">
        <is>
          <t>W74</t>
        </is>
      </c>
      <c r="F2" s="3" t="inlineStr">
        <is>
          <t>Alemania</t>
        </is>
      </c>
      <c r="G2" s="35" t="n">
        <v>97</v>
      </c>
      <c r="H2" s="35" t="inlineStr">
        <is>
          <t>W89</t>
        </is>
      </c>
      <c r="I2" s="3" t="inlineStr">
        <is>
          <t>Francia</t>
        </is>
      </c>
      <c r="J2" s="35" t="n">
        <v>101</v>
      </c>
      <c r="K2" s="35" t="inlineStr">
        <is>
          <t>W97</t>
        </is>
      </c>
      <c r="L2" s="3" t="inlineStr">
        <is>
          <t>Francia</t>
        </is>
      </c>
      <c r="M2" s="35" t="n">
        <v>103</v>
      </c>
      <c r="N2" s="35" t="inlineStr">
        <is>
          <t>L101</t>
        </is>
      </c>
      <c r="O2" s="3" t="inlineStr">
        <is>
          <t>Francia</t>
        </is>
      </c>
      <c r="P2" s="35" t="n">
        <v>104</v>
      </c>
      <c r="Q2" s="35" t="inlineStr">
        <is>
          <t>W101</t>
        </is>
      </c>
      <c r="R2" s="3" t="inlineStr">
        <is>
          <t>España</t>
        </is>
      </c>
      <c r="S2" s="3" t="n"/>
      <c r="T2" s="3" t="n"/>
      <c r="U2" s="1" t="n"/>
    </row>
    <row r="3">
      <c r="A3" s="33" t="n"/>
      <c r="B3" s="35" t="inlineStr">
        <is>
          <t>3ABCDF</t>
        </is>
      </c>
      <c r="C3" s="3" t="inlineStr">
        <is>
          <t>Escocia</t>
        </is>
      </c>
      <c r="D3" s="33" t="n"/>
      <c r="E3" s="35" t="inlineStr">
        <is>
          <t>W77</t>
        </is>
      </c>
      <c r="F3" s="3" t="inlineStr">
        <is>
          <t>Francia</t>
        </is>
      </c>
      <c r="G3" s="33" t="n"/>
      <c r="H3" s="35" t="inlineStr">
        <is>
          <t>W90</t>
        </is>
      </c>
      <c r="I3" s="3" t="inlineStr">
        <is>
          <t>Japón</t>
        </is>
      </c>
      <c r="J3" s="33" t="n"/>
      <c r="K3" s="35" t="inlineStr">
        <is>
          <t>W98</t>
        </is>
      </c>
      <c r="L3" s="3" t="inlineStr">
        <is>
          <t>España</t>
        </is>
      </c>
      <c r="M3" s="33" t="n"/>
      <c r="N3" s="35" t="inlineStr">
        <is>
          <t>L102</t>
        </is>
      </c>
      <c r="O3" s="3" t="inlineStr">
        <is>
          <t>Argentina</t>
        </is>
      </c>
      <c r="P3" s="33" t="n"/>
      <c r="Q3" s="35" t="inlineStr">
        <is>
          <t>W102</t>
        </is>
      </c>
      <c r="R3" s="3" t="inlineStr">
        <is>
          <t>Brasil</t>
        </is>
      </c>
      <c r="S3" s="1" t="n"/>
      <c r="T3" s="1" t="n"/>
      <c r="U3" s="1" t="n"/>
    </row>
    <row r="4">
      <c r="A4" s="35" t="n">
        <v>77</v>
      </c>
      <c r="B4" s="35" t="inlineStr">
        <is>
          <t>1I</t>
        </is>
      </c>
      <c r="C4" s="3" t="inlineStr">
        <is>
          <t>Francia</t>
        </is>
      </c>
      <c r="D4" s="35" t="n">
        <v>90</v>
      </c>
      <c r="E4" s="35" t="inlineStr">
        <is>
          <t>W73</t>
        </is>
      </c>
      <c r="F4" s="3" t="inlineStr">
        <is>
          <t>Canadá</t>
        </is>
      </c>
      <c r="G4" s="35" t="n">
        <v>98</v>
      </c>
      <c r="H4" s="35" t="inlineStr">
        <is>
          <t>W93</t>
        </is>
      </c>
      <c r="I4" s="3" t="inlineStr">
        <is>
          <t>España</t>
        </is>
      </c>
      <c r="J4" s="35" t="n">
        <v>102</v>
      </c>
      <c r="K4" s="35" t="inlineStr">
        <is>
          <t>W99</t>
        </is>
      </c>
      <c r="L4" s="3" t="inlineStr">
        <is>
          <t>Brasil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3" t="n"/>
      <c r="B5" s="35" t="inlineStr">
        <is>
          <t>3CDFGH</t>
        </is>
      </c>
      <c r="C5" s="3" t="inlineStr">
        <is>
          <t>Suecia</t>
        </is>
      </c>
      <c r="D5" s="33" t="n"/>
      <c r="E5" s="35" t="inlineStr">
        <is>
          <t>W75</t>
        </is>
      </c>
      <c r="F5" s="3" t="inlineStr">
        <is>
          <t>Japón</t>
        </is>
      </c>
      <c r="G5" s="33" t="n"/>
      <c r="H5" s="35" t="inlineStr">
        <is>
          <t>W94</t>
        </is>
      </c>
      <c r="I5" s="3" t="inlineStr">
        <is>
          <t>Bélgica</t>
        </is>
      </c>
      <c r="J5" s="33" t="n"/>
      <c r="K5" s="35" t="inlineStr">
        <is>
          <t>W100</t>
        </is>
      </c>
      <c r="L5" s="3" t="inlineStr">
        <is>
          <t>Argentina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35" t="n">
        <v>73</v>
      </c>
      <c r="B6" s="35" t="inlineStr">
        <is>
          <t>2A</t>
        </is>
      </c>
      <c r="C6" s="3" t="inlineStr">
        <is>
          <t>República Checa</t>
        </is>
      </c>
      <c r="D6" s="35" t="n">
        <v>93</v>
      </c>
      <c r="E6" s="35" t="inlineStr">
        <is>
          <t>W83</t>
        </is>
      </c>
      <c r="F6" s="3" t="inlineStr">
        <is>
          <t>Colombia</t>
        </is>
      </c>
      <c r="G6" s="35" t="n">
        <v>99</v>
      </c>
      <c r="H6" s="35" t="inlineStr">
        <is>
          <t>W91</t>
        </is>
      </c>
      <c r="I6" s="3" t="inlineStr">
        <is>
          <t>Brasil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33" t="n"/>
      <c r="B7" s="35" t="inlineStr">
        <is>
          <t>2B</t>
        </is>
      </c>
      <c r="C7" s="3" t="inlineStr">
        <is>
          <t>Canadá</t>
        </is>
      </c>
      <c r="D7" s="33" t="n"/>
      <c r="E7" s="35" t="inlineStr">
        <is>
          <t>W84</t>
        </is>
      </c>
      <c r="F7" s="3" t="inlineStr">
        <is>
          <t>España</t>
        </is>
      </c>
      <c r="G7" s="33" t="n"/>
      <c r="H7" s="35" t="inlineStr">
        <is>
          <t>W92</t>
        </is>
      </c>
      <c r="I7" s="3" t="inlineStr">
        <is>
          <t>Inglaterra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35" t="n">
        <v>75</v>
      </c>
      <c r="B8" s="35" t="inlineStr">
        <is>
          <t>1F</t>
        </is>
      </c>
      <c r="C8" s="3" t="inlineStr">
        <is>
          <t>Japón</t>
        </is>
      </c>
      <c r="D8" s="35" t="n">
        <v>94</v>
      </c>
      <c r="E8" s="35" t="inlineStr">
        <is>
          <t>W81</t>
        </is>
      </c>
      <c r="F8" s="3" t="inlineStr">
        <is>
          <t>Turquía</t>
        </is>
      </c>
      <c r="G8" s="35" t="n">
        <v>100</v>
      </c>
      <c r="H8" s="35" t="inlineStr">
        <is>
          <t>W95</t>
        </is>
      </c>
      <c r="I8" s="3" t="inlineStr">
        <is>
          <t>Argentina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33" t="n"/>
      <c r="B9" s="35" t="inlineStr">
        <is>
          <t>2C</t>
        </is>
      </c>
      <c r="C9" s="3" t="inlineStr">
        <is>
          <t>Marruecos</t>
        </is>
      </c>
      <c r="D9" s="33" t="n"/>
      <c r="E9" s="35" t="inlineStr">
        <is>
          <t>W82</t>
        </is>
      </c>
      <c r="F9" s="3" t="inlineStr">
        <is>
          <t>Bélgica</t>
        </is>
      </c>
      <c r="G9" s="33" t="n"/>
      <c r="H9" s="35" t="inlineStr">
        <is>
          <t>W96</t>
        </is>
      </c>
      <c r="I9" s="3" t="inlineStr">
        <is>
          <t>Portugal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35" t="n">
        <v>83</v>
      </c>
      <c r="B10" s="35" t="inlineStr">
        <is>
          <t>2K</t>
        </is>
      </c>
      <c r="C10" s="3" t="inlineStr">
        <is>
          <t>Colombia</t>
        </is>
      </c>
      <c r="D10" s="35" t="n">
        <v>91</v>
      </c>
      <c r="E10" s="35" t="inlineStr">
        <is>
          <t>W76</t>
        </is>
      </c>
      <c r="F10" s="3" t="inlineStr">
        <is>
          <t>Brasil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33" t="n"/>
      <c r="B11" s="35" t="inlineStr">
        <is>
          <t>2L</t>
        </is>
      </c>
      <c r="C11" s="3" t="inlineStr">
        <is>
          <t>Croacia</t>
        </is>
      </c>
      <c r="D11" s="33" t="n"/>
      <c r="E11" s="35" t="inlineStr">
        <is>
          <t>W78</t>
        </is>
      </c>
      <c r="F11" s="3" t="inlineStr">
        <is>
          <t>Noruega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35" t="n">
        <v>84</v>
      </c>
      <c r="B12" s="35" t="inlineStr">
        <is>
          <t>1H</t>
        </is>
      </c>
      <c r="C12" s="3" t="inlineStr">
        <is>
          <t>España</t>
        </is>
      </c>
      <c r="D12" s="35" t="n">
        <v>92</v>
      </c>
      <c r="E12" s="35" t="inlineStr">
        <is>
          <t>W79</t>
        </is>
      </c>
      <c r="F12" s="3" t="inlineStr">
        <is>
          <t>México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33" t="n"/>
      <c r="B13" s="35" t="inlineStr">
        <is>
          <t>2J</t>
        </is>
      </c>
      <c r="C13" s="3" t="inlineStr">
        <is>
          <t>Austria</t>
        </is>
      </c>
      <c r="D13" s="33" t="n"/>
      <c r="E13" s="35" t="inlineStr">
        <is>
          <t>W80</t>
        </is>
      </c>
      <c r="F13" s="3" t="inlineStr">
        <is>
          <t>Inglaterra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35" t="n">
        <v>81</v>
      </c>
      <c r="B14" s="35" t="inlineStr">
        <is>
          <t>1D</t>
        </is>
      </c>
      <c r="C14" s="3" t="inlineStr">
        <is>
          <t>Turquía</t>
        </is>
      </c>
      <c r="D14" s="35" t="n">
        <v>95</v>
      </c>
      <c r="E14" s="35" t="inlineStr">
        <is>
          <t>W86</t>
        </is>
      </c>
      <c r="F14" s="3" t="inlineStr">
        <is>
          <t>Argentina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33" t="n"/>
      <c r="B15" s="35" t="inlineStr">
        <is>
          <t>3BEFIJ</t>
        </is>
      </c>
      <c r="C15" s="3" t="inlineStr">
        <is>
          <t>Argelia</t>
        </is>
      </c>
      <c r="D15" s="33" t="n"/>
      <c r="E15" s="35" t="inlineStr">
        <is>
          <t>W88</t>
        </is>
      </c>
      <c r="F15" s="3" t="inlineStr">
        <is>
          <t>Paraguay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35" t="n">
        <v>82</v>
      </c>
      <c r="B16" s="35" t="inlineStr">
        <is>
          <t>1G</t>
        </is>
      </c>
      <c r="C16" s="3" t="inlineStr">
        <is>
          <t>Bélgica</t>
        </is>
      </c>
      <c r="D16" s="35" t="n">
        <v>96</v>
      </c>
      <c r="E16" s="35" t="inlineStr">
        <is>
          <t>W85</t>
        </is>
      </c>
      <c r="F16" s="3" t="inlineStr">
        <is>
          <t>Suiza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33" t="n"/>
      <c r="B17" s="35" t="inlineStr">
        <is>
          <t>3AEHIJ</t>
        </is>
      </c>
      <c r="C17" s="3" t="inlineStr">
        <is>
          <t>Corea del Sur</t>
        </is>
      </c>
      <c r="D17" s="33" t="n"/>
      <c r="E17" s="35" t="inlineStr">
        <is>
          <t>W87</t>
        </is>
      </c>
      <c r="F17" s="3" t="inlineStr">
        <is>
          <t>Portugal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35" t="n">
        <v>76</v>
      </c>
      <c r="B18" s="35" t="inlineStr">
        <is>
          <t>1C</t>
        </is>
      </c>
      <c r="C18" s="3" t="inlineStr">
        <is>
          <t>Brasil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33" t="n"/>
      <c r="B19" s="35" t="inlineStr">
        <is>
          <t>2F</t>
        </is>
      </c>
      <c r="C19" s="3" t="inlineStr">
        <is>
          <t>Países Bajos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35" t="n">
        <v>78</v>
      </c>
      <c r="B20" s="35" t="inlineStr">
        <is>
          <t>2E</t>
        </is>
      </c>
      <c r="C20" s="3" t="inlineStr">
        <is>
          <t>Ecuador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33" t="n"/>
      <c r="B21" s="35" t="inlineStr">
        <is>
          <t>2I</t>
        </is>
      </c>
      <c r="C21" s="3" t="inlineStr">
        <is>
          <t>Noruega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35" t="n">
        <v>79</v>
      </c>
      <c r="B22" s="35" t="inlineStr">
        <is>
          <t>1A</t>
        </is>
      </c>
      <c r="C22" s="3" t="inlineStr">
        <is>
          <t>México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33" t="n"/>
      <c r="B23" s="35" t="inlineStr">
        <is>
          <t>3CEFHI</t>
        </is>
      </c>
      <c r="C23" s="3" t="inlineStr">
        <is>
          <t>Costa de Marfil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35" t="n">
        <v>80</v>
      </c>
      <c r="B24" s="35" t="inlineStr">
        <is>
          <t>1L</t>
        </is>
      </c>
      <c r="C24" s="3" t="inlineStr">
        <is>
          <t>Inglaterra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33" t="n"/>
      <c r="B25" s="35" t="inlineStr">
        <is>
          <t>3EHIJK</t>
        </is>
      </c>
      <c r="C25" s="3" t="inlineStr">
        <is>
          <t>Senegal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35" t="n">
        <v>86</v>
      </c>
      <c r="B26" s="35" t="inlineStr">
        <is>
          <t>1J</t>
        </is>
      </c>
      <c r="C26" s="3" t="inlineStr">
        <is>
          <t>Argentina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33" t="n"/>
      <c r="B27" s="35" t="inlineStr">
        <is>
          <t>2H</t>
        </is>
      </c>
      <c r="C27" s="3" t="inlineStr">
        <is>
          <t>Uruguay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35" t="n">
        <v>88</v>
      </c>
      <c r="B28" s="35" t="inlineStr">
        <is>
          <t>2D</t>
        </is>
      </c>
      <c r="C28" s="3" t="inlineStr">
        <is>
          <t>Paraguay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33" t="n"/>
      <c r="B29" s="35" t="inlineStr">
        <is>
          <t>2G</t>
        </is>
      </c>
      <c r="C29" s="3" t="inlineStr">
        <is>
          <t>Egipto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35" t="n">
        <v>85</v>
      </c>
      <c r="B30" s="35" t="inlineStr">
        <is>
          <t>1B</t>
        </is>
      </c>
      <c r="C30" s="3" t="inlineStr">
        <is>
          <t>Suiza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33" t="n"/>
      <c r="B31" s="35" t="inlineStr">
        <is>
          <t>3EFGIJ</t>
        </is>
      </c>
      <c r="C31" s="3" t="inlineStr">
        <is>
          <t>Irán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35" t="n">
        <v>87</v>
      </c>
      <c r="B32" s="35" t="inlineStr">
        <is>
          <t>1K</t>
        </is>
      </c>
      <c r="C32" s="3" t="inlineStr">
        <is>
          <t>Portugal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33" t="n"/>
      <c r="B33" s="35" t="inlineStr">
        <is>
          <t>3DEIJL</t>
        </is>
      </c>
      <c r="C33" s="3" t="inlineStr">
        <is>
          <t>Ghana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</sheetData>
  <mergeCells count="38">
    <mergeCell ref="A24:A25"/>
    <mergeCell ref="G8:G9"/>
    <mergeCell ref="M2:M3"/>
    <mergeCell ref="A16:A17"/>
    <mergeCell ref="A6:A7"/>
    <mergeCell ref="D2:D3"/>
    <mergeCell ref="P2:P3"/>
    <mergeCell ref="A12:A13"/>
    <mergeCell ref="A26:A27"/>
    <mergeCell ref="J4:J5"/>
    <mergeCell ref="D4:D5"/>
    <mergeCell ref="G6:G7"/>
    <mergeCell ref="D16:D17"/>
    <mergeCell ref="A2:A3"/>
    <mergeCell ref="D12:D13"/>
    <mergeCell ref="A18:A19"/>
    <mergeCell ref="G1:I1"/>
    <mergeCell ref="A14:A15"/>
    <mergeCell ref="A32:A33"/>
    <mergeCell ref="A8:A9"/>
    <mergeCell ref="A22:A23"/>
    <mergeCell ref="A4:A5"/>
    <mergeCell ref="G4:G5"/>
    <mergeCell ref="D8:D9"/>
    <mergeCell ref="A20:A21"/>
    <mergeCell ref="A10:A11"/>
    <mergeCell ref="D1:F1"/>
    <mergeCell ref="J2:J3"/>
    <mergeCell ref="D14:D15"/>
    <mergeCell ref="J1:L1"/>
    <mergeCell ref="P1:R1"/>
    <mergeCell ref="D10:D11"/>
    <mergeCell ref="A1:C1"/>
    <mergeCell ref="A28:A29"/>
    <mergeCell ref="M1:O1"/>
    <mergeCell ref="D6:D7"/>
    <mergeCell ref="G2:G3"/>
    <mergeCell ref="A30:A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"/>
    </sheetView>
  </sheetViews>
  <sheetFormatPr baseColWidth="10" defaultRowHeight="15"/>
  <cols>
    <col width="18.33203125" bestFit="1" customWidth="1" min="1" max="1"/>
  </cols>
  <sheetData>
    <row r="1">
      <c r="A1" s="34" t="inlineStr">
        <is>
          <t>Dieciseisavos</t>
        </is>
      </c>
      <c r="B1" s="34" t="inlineStr">
        <is>
          <t>Octavos</t>
        </is>
      </c>
      <c r="C1" s="34" t="inlineStr">
        <is>
          <t>Cuartos</t>
        </is>
      </c>
      <c r="D1" s="34" t="inlineStr">
        <is>
          <t>Semifinal</t>
        </is>
      </c>
      <c r="E1" s="34" t="inlineStr">
        <is>
          <t>Tercero</t>
        </is>
      </c>
      <c r="F1" s="34" t="inlineStr">
        <is>
          <t>Final</t>
        </is>
      </c>
      <c r="G1" s="34" t="inlineStr">
        <is>
          <t>Campeón</t>
        </is>
      </c>
    </row>
    <row r="2">
      <c r="A2" s="3" t="inlineStr">
        <is>
          <t>Alemania</t>
        </is>
      </c>
      <c r="B2" s="3" t="inlineStr">
        <is>
          <t>Alemania</t>
        </is>
      </c>
      <c r="C2" s="3" t="inlineStr">
        <is>
          <t>Francia</t>
        </is>
      </c>
      <c r="D2" s="3" t="inlineStr">
        <is>
          <t>Francia</t>
        </is>
      </c>
      <c r="E2" s="3" t="inlineStr">
        <is>
          <t>Francia</t>
        </is>
      </c>
      <c r="F2" s="3" t="inlineStr">
        <is>
          <t>España</t>
        </is>
      </c>
      <c r="G2" s="3" t="inlineStr">
        <is>
          <t>España</t>
        </is>
      </c>
    </row>
    <row r="3">
      <c r="A3" s="3" t="inlineStr">
        <is>
          <t>Escocia</t>
        </is>
      </c>
      <c r="B3" s="3" t="inlineStr">
        <is>
          <t>Francia</t>
        </is>
      </c>
      <c r="C3" s="3" t="inlineStr">
        <is>
          <t>Japón</t>
        </is>
      </c>
      <c r="D3" s="3" t="inlineStr">
        <is>
          <t>España</t>
        </is>
      </c>
      <c r="E3" s="18" t="n"/>
      <c r="F3" s="3" t="inlineStr">
        <is>
          <t>Brasil</t>
        </is>
      </c>
      <c r="G3" s="18" t="n"/>
    </row>
    <row r="4">
      <c r="A4" s="3" t="inlineStr">
        <is>
          <t>Francia</t>
        </is>
      </c>
      <c r="B4" s="3" t="inlineStr">
        <is>
          <t>Canadá</t>
        </is>
      </c>
      <c r="C4" s="3" t="inlineStr">
        <is>
          <t>España</t>
        </is>
      </c>
      <c r="D4" s="3" t="inlineStr">
        <is>
          <t>Brasil</t>
        </is>
      </c>
      <c r="E4" s="18" t="n"/>
      <c r="F4" s="18" t="n"/>
      <c r="G4" s="18" t="n"/>
    </row>
    <row r="5">
      <c r="A5" s="3" t="inlineStr">
        <is>
          <t>Suecia</t>
        </is>
      </c>
      <c r="B5" s="3" t="inlineStr">
        <is>
          <t>Japón</t>
        </is>
      </c>
      <c r="C5" s="3" t="inlineStr">
        <is>
          <t>Bélgica</t>
        </is>
      </c>
      <c r="D5" s="3" t="inlineStr">
        <is>
          <t>Argentina</t>
        </is>
      </c>
      <c r="E5" s="18" t="n"/>
      <c r="F5" s="18" t="n"/>
      <c r="G5" s="18" t="n"/>
    </row>
    <row r="6">
      <c r="A6" s="3" t="inlineStr">
        <is>
          <t>República Checa</t>
        </is>
      </c>
      <c r="B6" s="3" t="inlineStr">
        <is>
          <t>Colombia</t>
        </is>
      </c>
      <c r="C6" s="3" t="inlineStr">
        <is>
          <t>Brasil</t>
        </is>
      </c>
      <c r="D6" s="18" t="n"/>
      <c r="E6" s="18" t="n"/>
      <c r="F6" s="18" t="n"/>
      <c r="G6" s="18" t="n"/>
    </row>
    <row r="7">
      <c r="A7" s="3" t="inlineStr">
        <is>
          <t>Canadá</t>
        </is>
      </c>
      <c r="B7" s="3" t="inlineStr">
        <is>
          <t>España</t>
        </is>
      </c>
      <c r="C7" s="3" t="inlineStr">
        <is>
          <t>Inglaterra</t>
        </is>
      </c>
      <c r="D7" s="18" t="n"/>
      <c r="E7" s="18" t="n"/>
      <c r="F7" s="18" t="n"/>
      <c r="G7" s="18" t="n"/>
    </row>
    <row r="8">
      <c r="A8" s="3" t="inlineStr">
        <is>
          <t>Japón</t>
        </is>
      </c>
      <c r="B8" s="3" t="inlineStr">
        <is>
          <t>Turquía</t>
        </is>
      </c>
      <c r="C8" s="3" t="inlineStr">
        <is>
          <t>Argentina</t>
        </is>
      </c>
      <c r="D8" s="18" t="n"/>
      <c r="E8" s="18" t="n"/>
      <c r="F8" s="18" t="n"/>
      <c r="G8" s="18" t="n"/>
    </row>
    <row r="9">
      <c r="A9" s="3" t="inlineStr">
        <is>
          <t>Marruecos</t>
        </is>
      </c>
      <c r="B9" s="3" t="inlineStr">
        <is>
          <t>Bélgica</t>
        </is>
      </c>
      <c r="C9" s="3" t="inlineStr">
        <is>
          <t>Portugal</t>
        </is>
      </c>
      <c r="D9" s="18" t="n"/>
      <c r="E9" s="18" t="n"/>
      <c r="F9" s="18" t="n"/>
      <c r="G9" s="18" t="n"/>
    </row>
    <row r="10">
      <c r="A10" s="3" t="inlineStr">
        <is>
          <t>Colombia</t>
        </is>
      </c>
      <c r="B10" s="3" t="inlineStr">
        <is>
          <t>Brasil</t>
        </is>
      </c>
      <c r="C10" s="18" t="n"/>
      <c r="D10" s="18" t="n"/>
      <c r="E10" s="18" t="n"/>
      <c r="F10" s="18" t="n"/>
      <c r="G10" s="18" t="n"/>
    </row>
    <row r="11">
      <c r="A11" s="3" t="inlineStr">
        <is>
          <t>Croacia</t>
        </is>
      </c>
      <c r="B11" s="3" t="inlineStr">
        <is>
          <t>Noruega</t>
        </is>
      </c>
      <c r="C11" s="18" t="n"/>
      <c r="D11" s="18" t="n"/>
      <c r="E11" s="18" t="n"/>
      <c r="F11" s="18" t="n"/>
      <c r="G11" s="18" t="n"/>
    </row>
    <row r="12">
      <c r="A12" s="3" t="inlineStr">
        <is>
          <t>España</t>
        </is>
      </c>
      <c r="B12" s="3" t="inlineStr">
        <is>
          <t>México</t>
        </is>
      </c>
      <c r="C12" s="18" t="n"/>
      <c r="D12" s="18" t="n"/>
      <c r="E12" s="18" t="n"/>
      <c r="F12" s="18" t="n"/>
      <c r="G12" s="18" t="n"/>
    </row>
    <row r="13">
      <c r="A13" s="3" t="inlineStr">
        <is>
          <t>Austria</t>
        </is>
      </c>
      <c r="B13" s="3" t="inlineStr">
        <is>
          <t>Inglaterra</t>
        </is>
      </c>
      <c r="C13" s="18" t="n"/>
      <c r="D13" s="18" t="n"/>
      <c r="E13" s="18" t="n"/>
      <c r="F13" s="18" t="n"/>
      <c r="G13" s="18" t="n"/>
    </row>
    <row r="14">
      <c r="A14" s="3" t="inlineStr">
        <is>
          <t>Turquía</t>
        </is>
      </c>
      <c r="B14" s="3" t="inlineStr">
        <is>
          <t>Argentina</t>
        </is>
      </c>
      <c r="C14" s="18" t="n"/>
      <c r="D14" s="18" t="n"/>
      <c r="E14" s="18" t="n"/>
      <c r="F14" s="18" t="n"/>
      <c r="G14" s="18" t="n"/>
    </row>
    <row r="15">
      <c r="A15" s="3" t="inlineStr">
        <is>
          <t>Argelia</t>
        </is>
      </c>
      <c r="B15" s="3" t="inlineStr">
        <is>
          <t>Paraguay</t>
        </is>
      </c>
      <c r="C15" s="18" t="n"/>
      <c r="D15" s="18" t="n"/>
      <c r="E15" s="18" t="n"/>
      <c r="F15" s="18" t="n"/>
      <c r="G15" s="18" t="n"/>
    </row>
    <row r="16">
      <c r="A16" s="3" t="inlineStr">
        <is>
          <t>Bélgica</t>
        </is>
      </c>
      <c r="B16" s="3" t="inlineStr">
        <is>
          <t>Suiza</t>
        </is>
      </c>
      <c r="C16" s="18" t="n"/>
      <c r="D16" s="18" t="n"/>
      <c r="E16" s="18" t="n"/>
      <c r="F16" s="18" t="n"/>
      <c r="G16" s="18" t="n"/>
    </row>
    <row r="17">
      <c r="A17" s="3" t="inlineStr">
        <is>
          <t>Corea del Sur</t>
        </is>
      </c>
      <c r="B17" s="3" t="inlineStr">
        <is>
          <t>Portugal</t>
        </is>
      </c>
      <c r="C17" s="18" t="n"/>
      <c r="D17" s="18" t="n"/>
      <c r="E17" s="18" t="n"/>
      <c r="F17" s="18" t="n"/>
      <c r="G17" s="18" t="n"/>
    </row>
    <row r="18">
      <c r="A18" s="3" t="inlineStr">
        <is>
          <t>Brasil</t>
        </is>
      </c>
      <c r="B18" s="18" t="n"/>
      <c r="C18" s="18" t="n"/>
      <c r="D18" s="18" t="n"/>
      <c r="E18" s="18" t="n"/>
      <c r="F18" s="18" t="n"/>
      <c r="G18" s="18" t="n"/>
    </row>
    <row r="19">
      <c r="A19" s="3" t="inlineStr">
        <is>
          <t>Países Bajos</t>
        </is>
      </c>
      <c r="B19" s="18" t="n"/>
      <c r="C19" s="18" t="n"/>
      <c r="D19" s="18" t="n"/>
      <c r="E19" s="18" t="n"/>
      <c r="F19" s="18" t="n"/>
      <c r="G19" s="18" t="n"/>
    </row>
    <row r="20">
      <c r="A20" s="3" t="inlineStr">
        <is>
          <t>Ecuador</t>
        </is>
      </c>
      <c r="B20" s="18" t="n"/>
      <c r="C20" s="18" t="n"/>
      <c r="D20" s="18" t="n"/>
      <c r="E20" s="18" t="n"/>
      <c r="F20" s="18" t="n"/>
      <c r="G20" s="18" t="n"/>
    </row>
    <row r="21">
      <c r="A21" s="3" t="inlineStr">
        <is>
          <t>Noruega</t>
        </is>
      </c>
      <c r="B21" s="18" t="n"/>
      <c r="C21" s="18" t="n"/>
      <c r="D21" s="18" t="n"/>
      <c r="E21" s="18" t="n"/>
      <c r="F21" s="18" t="n"/>
      <c r="G21" s="18" t="n"/>
    </row>
    <row r="22">
      <c r="A22" s="3" t="inlineStr">
        <is>
          <t>México</t>
        </is>
      </c>
      <c r="B22" s="18" t="n"/>
      <c r="C22" s="18" t="n"/>
      <c r="D22" s="18" t="n"/>
      <c r="E22" s="18" t="n"/>
      <c r="F22" s="18" t="n"/>
      <c r="G22" s="18" t="n"/>
    </row>
    <row r="23">
      <c r="A23" s="3" t="inlineStr">
        <is>
          <t>Costa de Marfil</t>
        </is>
      </c>
      <c r="B23" s="18" t="n"/>
      <c r="C23" s="18" t="n"/>
      <c r="D23" s="18" t="n"/>
      <c r="E23" s="18" t="n"/>
      <c r="F23" s="18" t="n"/>
      <c r="G23" s="18" t="n"/>
    </row>
    <row r="24">
      <c r="A24" s="3" t="inlineStr">
        <is>
          <t>Inglaterra</t>
        </is>
      </c>
      <c r="B24" s="18" t="n"/>
      <c r="C24" s="18" t="n"/>
      <c r="D24" s="18" t="n"/>
      <c r="E24" s="18" t="n"/>
      <c r="F24" s="18" t="n"/>
      <c r="G24" s="18" t="n"/>
    </row>
    <row r="25">
      <c r="A25" s="3" t="inlineStr">
        <is>
          <t>Senegal</t>
        </is>
      </c>
      <c r="B25" s="18" t="n"/>
      <c r="C25" s="18" t="n"/>
      <c r="D25" s="18" t="n"/>
      <c r="E25" s="18" t="n"/>
      <c r="F25" s="18" t="n"/>
      <c r="G25" s="18" t="n"/>
    </row>
    <row r="26">
      <c r="A26" s="3" t="inlineStr">
        <is>
          <t>Argentina</t>
        </is>
      </c>
      <c r="B26" s="18" t="n"/>
      <c r="C26" s="18" t="n"/>
      <c r="D26" s="18" t="n"/>
      <c r="E26" s="18" t="n"/>
      <c r="F26" s="18" t="n"/>
      <c r="G26" s="18" t="n"/>
    </row>
    <row r="27">
      <c r="A27" s="3" t="inlineStr">
        <is>
          <t>Uruguay</t>
        </is>
      </c>
      <c r="B27" s="18" t="n"/>
      <c r="C27" s="18" t="n"/>
      <c r="D27" s="18" t="n"/>
      <c r="E27" s="18" t="n"/>
      <c r="F27" s="18" t="n"/>
      <c r="G27" s="18" t="n"/>
    </row>
    <row r="28">
      <c r="A28" s="3" t="inlineStr">
        <is>
          <t>Paraguay</t>
        </is>
      </c>
      <c r="B28" s="18" t="n"/>
      <c r="C28" s="18" t="n"/>
      <c r="D28" s="18" t="n"/>
      <c r="E28" s="18" t="n"/>
      <c r="F28" s="18" t="n"/>
      <c r="G28" s="18" t="n"/>
    </row>
    <row r="29">
      <c r="A29" s="3" t="inlineStr">
        <is>
          <t>Egipto</t>
        </is>
      </c>
      <c r="B29" s="18" t="n"/>
      <c r="C29" s="18" t="n"/>
      <c r="D29" s="18" t="n"/>
      <c r="E29" s="18" t="n"/>
      <c r="F29" s="18" t="n"/>
      <c r="G29" s="18" t="n"/>
    </row>
    <row r="30">
      <c r="A30" s="3" t="inlineStr">
        <is>
          <t>Suiza</t>
        </is>
      </c>
      <c r="B30" s="18" t="n"/>
      <c r="C30" s="18" t="n"/>
      <c r="D30" s="18" t="n"/>
      <c r="E30" s="18" t="n"/>
      <c r="F30" s="18" t="n"/>
      <c r="G30" s="18" t="n"/>
    </row>
    <row r="31">
      <c r="A31" s="3" t="inlineStr">
        <is>
          <t>Irán</t>
        </is>
      </c>
      <c r="B31" s="18" t="n"/>
      <c r="C31" s="18" t="n"/>
      <c r="D31" s="18" t="n"/>
      <c r="E31" s="18" t="n"/>
      <c r="F31" s="18" t="n"/>
      <c r="G31" s="18" t="n"/>
    </row>
    <row r="32">
      <c r="A32" s="3" t="inlineStr">
        <is>
          <t>Portugal</t>
        </is>
      </c>
      <c r="B32" s="18" t="n"/>
      <c r="C32" s="18" t="n"/>
      <c r="D32" s="18" t="n"/>
      <c r="E32" s="18" t="n"/>
      <c r="F32" s="18" t="n"/>
      <c r="G32" s="18" t="n"/>
    </row>
    <row r="33">
      <c r="A33" s="3" t="inlineStr">
        <is>
          <t>Ghana</t>
        </is>
      </c>
      <c r="B33" s="18" t="n"/>
      <c r="C33" s="18" t="n"/>
      <c r="D33" s="18" t="n"/>
      <c r="E33" s="18" t="n"/>
      <c r="F33" s="18" t="n"/>
      <c r="G33" s="18" t="n"/>
    </row>
  </sheetData>
  <autoFilter ref="A1:G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topLeftCell="A15" zoomScale="137" workbookViewId="0">
      <selection activeCell="I23" sqref="I23"/>
    </sheetView>
  </sheetViews>
  <sheetFormatPr baseColWidth="10" defaultRowHeight="15"/>
  <cols>
    <col width="20.1640625" bestFit="1" customWidth="1" min="2" max="3"/>
  </cols>
  <sheetData>
    <row r="1">
      <c r="A1" s="30" t="inlineStr">
        <is>
          <t>PARTIDOS DE DIECISEISAVOS</t>
        </is>
      </c>
      <c r="B1" s="28" t="n"/>
      <c r="C1" s="28" t="n"/>
      <c r="D1" s="28" t="n"/>
      <c r="E1" s="28" t="n"/>
      <c r="F1" s="28" t="n"/>
      <c r="G1" s="29" t="n"/>
    </row>
    <row r="2">
      <c r="A2" s="34" t="inlineStr">
        <is>
          <t>Partido</t>
        </is>
      </c>
      <c r="B2" s="34" t="inlineStr">
        <is>
          <t>Local</t>
        </is>
      </c>
      <c r="C2" s="34" t="inlineStr">
        <is>
          <t>Visitante</t>
        </is>
      </c>
      <c r="D2" s="34" t="inlineStr">
        <is>
          <t>G_Local</t>
        </is>
      </c>
      <c r="E2" s="34" t="inlineStr">
        <is>
          <t>G_Visitante</t>
        </is>
      </c>
      <c r="F2" s="34" t="inlineStr">
        <is>
          <t>Resultado</t>
        </is>
      </c>
      <c r="G2" s="1" t="inlineStr">
        <is>
          <t>Diferencia</t>
        </is>
      </c>
    </row>
    <row r="3">
      <c r="A3" s="34" t="n">
        <v>1</v>
      </c>
      <c r="B3" s="34" t="inlineStr">
        <is>
          <t>Alemania</t>
        </is>
      </c>
      <c r="C3" s="34" t="inlineStr">
        <is>
          <t>Paraguay</t>
        </is>
      </c>
      <c r="D3" s="3" t="n">
        <v>2</v>
      </c>
      <c r="E3" s="3" t="n">
        <v>0</v>
      </c>
      <c r="F3" s="34">
        <f>IF(D3&gt;E3,"Local",IF(D3=E3,"Empate","Visitante"))</f>
        <v/>
      </c>
      <c r="G3" s="1">
        <f>D3-E3</f>
        <v/>
      </c>
    </row>
    <row r="4">
      <c r="A4" s="34" t="n">
        <v>2</v>
      </c>
      <c r="B4" s="34" t="inlineStr">
        <is>
          <t>Francia</t>
        </is>
      </c>
      <c r="C4" s="34" t="inlineStr">
        <is>
          <t>Suecia</t>
        </is>
      </c>
      <c r="D4" s="3" t="n">
        <v>3</v>
      </c>
      <c r="E4" s="3" t="n">
        <v>1</v>
      </c>
      <c r="F4" s="34">
        <f>IF(D4&gt;E4,"Local",IF(D4=E4,"Empate","Visitante"))</f>
        <v/>
      </c>
      <c r="G4" s="1">
        <f>D4-E4</f>
        <v/>
      </c>
    </row>
    <row r="5">
      <c r="A5" s="34" t="n">
        <v>3</v>
      </c>
      <c r="B5" s="34" t="inlineStr">
        <is>
          <t>Sudáfrica</t>
        </is>
      </c>
      <c r="C5" s="34" t="inlineStr">
        <is>
          <t>Canadá</t>
        </is>
      </c>
      <c r="D5" s="3" t="n">
        <v>1</v>
      </c>
      <c r="E5" s="3" t="n">
        <v>2</v>
      </c>
      <c r="F5" s="34">
        <f>IF(D5&gt;E5,"Local",IF(D5=E5,"Empate","Visitante"))</f>
        <v/>
      </c>
      <c r="G5" s="1">
        <f>D5-E5</f>
        <v/>
      </c>
    </row>
    <row r="6">
      <c r="A6" s="34" t="n">
        <v>4</v>
      </c>
      <c r="B6" s="34" t="inlineStr">
        <is>
          <t>Países Bajos</t>
        </is>
      </c>
      <c r="C6" s="34" t="inlineStr">
        <is>
          <t>Marruecos</t>
        </is>
      </c>
      <c r="D6" s="3" t="n">
        <v>2</v>
      </c>
      <c r="E6" s="3" t="n">
        <v>1</v>
      </c>
      <c r="F6" s="34">
        <f>IF(D6&gt;E6,"Local",IF(D6=E6,"Empate","Visitante"))</f>
        <v/>
      </c>
      <c r="G6" s="1">
        <f>D6-E6</f>
        <v/>
      </c>
    </row>
    <row r="7">
      <c r="A7" s="34" t="n">
        <v>5</v>
      </c>
      <c r="B7" s="34" t="inlineStr">
        <is>
          <t>Portugal</t>
        </is>
      </c>
      <c r="C7" s="34" t="inlineStr">
        <is>
          <t>Croacia</t>
        </is>
      </c>
      <c r="D7" s="3" t="n">
        <v>2</v>
      </c>
      <c r="E7" s="3" t="n">
        <v>1</v>
      </c>
      <c r="F7" s="34">
        <f>IF(D7&gt;E7,"Local",IF(D7=E7,"Empate","Visitante"))</f>
        <v/>
      </c>
      <c r="G7" s="1">
        <f>D7-E7</f>
        <v/>
      </c>
    </row>
    <row r="8">
      <c r="A8" s="34" t="n">
        <v>6</v>
      </c>
      <c r="B8" s="34" t="inlineStr">
        <is>
          <t>España</t>
        </is>
      </c>
      <c r="C8" s="34" t="inlineStr">
        <is>
          <t>Austria</t>
        </is>
      </c>
      <c r="D8" s="3" t="n">
        <v>2</v>
      </c>
      <c r="E8" s="3" t="n">
        <v>0</v>
      </c>
      <c r="F8" s="34">
        <f>IF(D8&gt;E8,"Local",IF(D8=E8,"Empate","Visitante"))</f>
        <v/>
      </c>
      <c r="G8" s="1">
        <f>D8-E8</f>
        <v/>
      </c>
    </row>
    <row r="9">
      <c r="A9" s="34" t="n">
        <v>7</v>
      </c>
      <c r="B9" s="34" t="inlineStr">
        <is>
          <t>Estados Unidos</t>
        </is>
      </c>
      <c r="C9" s="34" t="inlineStr">
        <is>
          <t>Bosnia y Herzegovina</t>
        </is>
      </c>
      <c r="D9" s="3" t="n">
        <v>2</v>
      </c>
      <c r="E9" s="3" t="n">
        <v>0</v>
      </c>
      <c r="F9" s="34">
        <f>IF(D9&gt;E9,"Local",IF(D9=E9,"Empate","Visitante"))</f>
        <v/>
      </c>
      <c r="G9" s="1">
        <f>D9-E9</f>
        <v/>
      </c>
    </row>
    <row r="10">
      <c r="A10" s="34" t="n">
        <v>8</v>
      </c>
      <c r="B10" s="34" t="inlineStr">
        <is>
          <t>Bélgica</t>
        </is>
      </c>
      <c r="C10" s="34" t="inlineStr">
        <is>
          <t>Senegal</t>
        </is>
      </c>
      <c r="D10" s="3" t="n">
        <v>1</v>
      </c>
      <c r="E10" s="3" t="n">
        <v>2</v>
      </c>
      <c r="F10" s="34">
        <f>IF(D10&gt;E10,"Local",IF(D10=E10,"Empate","Visitante"))</f>
        <v/>
      </c>
      <c r="G10" s="1">
        <f>D10-E10</f>
        <v/>
      </c>
    </row>
    <row r="11">
      <c r="A11" s="34" t="n">
        <v>9</v>
      </c>
      <c r="B11" s="34" t="inlineStr">
        <is>
          <t>Brasil</t>
        </is>
      </c>
      <c r="C11" s="34" t="inlineStr">
        <is>
          <t>Japón</t>
        </is>
      </c>
      <c r="D11" s="3" t="n">
        <v>3</v>
      </c>
      <c r="E11" s="3" t="n">
        <v>1</v>
      </c>
      <c r="F11" s="34">
        <f>IF(D11&gt;E11,"Local",IF(D11=E11,"Empate","Visitante"))</f>
        <v/>
      </c>
      <c r="G11" s="1">
        <f>D11-E11</f>
        <v/>
      </c>
    </row>
    <row r="12">
      <c r="A12" s="34" t="n">
        <v>10</v>
      </c>
      <c r="B12" s="34" t="inlineStr">
        <is>
          <t>Costa de Marfil</t>
        </is>
      </c>
      <c r="C12" s="34" t="inlineStr">
        <is>
          <t>Noruega</t>
        </is>
      </c>
      <c r="D12" s="3" t="n">
        <v>1</v>
      </c>
      <c r="E12" s="3" t="n">
        <v>2</v>
      </c>
      <c r="F12" s="34">
        <f>IF(D12&gt;E12,"Local",IF(D12=E12,"Empate","Visitante"))</f>
        <v/>
      </c>
      <c r="G12" s="1">
        <f>D12-E12</f>
        <v/>
      </c>
    </row>
    <row r="13">
      <c r="A13" s="34" t="n">
        <v>11</v>
      </c>
      <c r="B13" s="34" t="inlineStr">
        <is>
          <t>México</t>
        </is>
      </c>
      <c r="C13" s="34" t="inlineStr">
        <is>
          <t>Ecuador</t>
        </is>
      </c>
      <c r="D13" s="3" t="n">
        <v>2</v>
      </c>
      <c r="E13" s="3" t="n">
        <v>1</v>
      </c>
      <c r="F13" s="34">
        <f>IF(D13&gt;E13,"Local",IF(D13=E13,"Empate","Visitante"))</f>
        <v/>
      </c>
      <c r="G13" s="1">
        <f>D13-E13</f>
        <v/>
      </c>
    </row>
    <row r="14">
      <c r="A14" s="34" t="n">
        <v>12</v>
      </c>
      <c r="B14" s="34" t="inlineStr">
        <is>
          <t>Inglaterra</t>
        </is>
      </c>
      <c r="C14" s="34" t="inlineStr">
        <is>
          <t>RD Congo</t>
        </is>
      </c>
      <c r="D14" s="3" t="n">
        <v>3</v>
      </c>
      <c r="E14" s="3" t="n">
        <v>1</v>
      </c>
      <c r="F14" s="34">
        <f>IF(D14&gt;E14,"Local",IF(D14=E14,"Empate","Visitante"))</f>
        <v/>
      </c>
      <c r="G14" s="1">
        <f>D14-E14</f>
        <v/>
      </c>
    </row>
    <row r="15">
      <c r="A15" s="34" t="n">
        <v>13</v>
      </c>
      <c r="B15" s="34" t="inlineStr">
        <is>
          <t>Argentina</t>
        </is>
      </c>
      <c r="C15" s="34" t="inlineStr">
        <is>
          <t>Cabo Verde</t>
        </is>
      </c>
      <c r="D15" s="3" t="n">
        <v>2</v>
      </c>
      <c r="E15" s="3" t="n">
        <v>0</v>
      </c>
      <c r="F15" s="34">
        <f>IF(D15&gt;E15,"Local",IF(D15=E15,"Empate","Visitante"))</f>
        <v/>
      </c>
      <c r="G15" s="1">
        <f>D15-E15</f>
        <v/>
      </c>
    </row>
    <row r="16">
      <c r="A16" s="34" t="n">
        <v>14</v>
      </c>
      <c r="B16" s="34" t="inlineStr">
        <is>
          <t>Australia</t>
        </is>
      </c>
      <c r="C16" s="34" t="inlineStr">
        <is>
          <t>Egipto</t>
        </is>
      </c>
      <c r="D16" s="3" t="n">
        <v>2</v>
      </c>
      <c r="E16" s="3" t="n">
        <v>1</v>
      </c>
      <c r="F16" s="34">
        <f>IF(D16&gt;E16,"Local",IF(D16=E16,"Empate","Visitante"))</f>
        <v/>
      </c>
      <c r="G16" s="1">
        <f>D16-E16</f>
        <v/>
      </c>
    </row>
    <row r="17">
      <c r="A17" s="34" t="n">
        <v>15</v>
      </c>
      <c r="B17" s="34" t="inlineStr">
        <is>
          <t>Suiza</t>
        </is>
      </c>
      <c r="C17" s="34" t="inlineStr">
        <is>
          <t>Argelia</t>
        </is>
      </c>
      <c r="D17" s="3" t="n">
        <v>2</v>
      </c>
      <c r="E17" s="3" t="n">
        <v>1</v>
      </c>
      <c r="F17" s="34">
        <f>IF(D17&gt;E17,"Local",IF(D17=E17,"Empate","Visitante"))</f>
        <v/>
      </c>
      <c r="G17" s="1">
        <f>D17-E17</f>
        <v/>
      </c>
    </row>
    <row r="18">
      <c r="A18" s="34" t="n">
        <v>16</v>
      </c>
      <c r="B18" s="34" t="inlineStr">
        <is>
          <t>Colombia</t>
        </is>
      </c>
      <c r="C18" s="34" t="inlineStr">
        <is>
          <t>Ghana</t>
        </is>
      </c>
      <c r="D18" s="3" t="n">
        <v>2</v>
      </c>
      <c r="E18" s="3" t="n">
        <v>1</v>
      </c>
      <c r="F18" s="34">
        <f>IF(D18&gt;E18,"Local",IF(D18=E18,"Empate","Visitante"))</f>
        <v/>
      </c>
      <c r="G18" s="1">
        <f>D18-E18</f>
        <v/>
      </c>
    </row>
    <row r="20">
      <c r="A20" s="30" t="inlineStr">
        <is>
          <t>PARTIDOS DE OCTAVOS DE FINAL</t>
        </is>
      </c>
      <c r="B20" s="28" t="n"/>
      <c r="C20" s="28" t="n"/>
      <c r="D20" s="28" t="n"/>
      <c r="E20" s="28" t="n"/>
      <c r="F20" s="28" t="n"/>
      <c r="G20" s="29" t="n"/>
    </row>
    <row r="21">
      <c r="A21" s="23" t="inlineStr">
        <is>
          <t>Partido</t>
        </is>
      </c>
      <c r="B21" s="23" t="inlineStr">
        <is>
          <t>Local</t>
        </is>
      </c>
      <c r="C21" s="23" t="inlineStr">
        <is>
          <t>Visitante</t>
        </is>
      </c>
      <c r="D21" s="23" t="inlineStr">
        <is>
          <t>G_Local</t>
        </is>
      </c>
      <c r="E21" s="23" t="inlineStr">
        <is>
          <t>G_Visitante</t>
        </is>
      </c>
      <c r="F21" s="23" t="inlineStr">
        <is>
          <t>Resultado</t>
        </is>
      </c>
      <c r="G21" s="1" t="inlineStr">
        <is>
          <t>Diferencia</t>
        </is>
      </c>
    </row>
    <row r="22">
      <c r="A22" s="34" t="n">
        <v>1</v>
      </c>
      <c r="B22" s="22" t="inlineStr">
        <is>
          <t>Paraguay</t>
        </is>
      </c>
      <c r="C22" s="22" t="inlineStr">
        <is>
          <t>Francia</t>
        </is>
      </c>
      <c r="D22" s="25" t="n">
        <v>0</v>
      </c>
      <c r="E22" s="25" t="n">
        <v>3</v>
      </c>
      <c r="F22" s="22">
        <f>IF(D22&gt;E22,"Local",IF(D22=E22,"Empate","Visitante"))</f>
        <v/>
      </c>
      <c r="G22" s="24">
        <f>D22-E22</f>
        <v/>
      </c>
    </row>
    <row r="23">
      <c r="A23" s="34" t="n">
        <v>2</v>
      </c>
      <c r="B23" s="22" t="inlineStr">
        <is>
          <t>Canadá</t>
        </is>
      </c>
      <c r="C23" s="22" t="inlineStr">
        <is>
          <t>Marruecos</t>
        </is>
      </c>
      <c r="D23" s="25" t="n">
        <v>0</v>
      </c>
      <c r="E23" s="25" t="n">
        <v>2</v>
      </c>
      <c r="F23" s="22">
        <f>IF(D23&gt;E23,"Local",IF(D23=E23,"Empate","Visitante"))</f>
        <v/>
      </c>
      <c r="G23" s="24">
        <f>D23-E23</f>
        <v/>
      </c>
    </row>
    <row r="24">
      <c r="A24" s="34" t="n">
        <v>3</v>
      </c>
      <c r="B24" s="22" t="inlineStr">
        <is>
          <t>Portugal</t>
        </is>
      </c>
      <c r="C24" s="22" t="inlineStr">
        <is>
          <t>España</t>
        </is>
      </c>
      <c r="D24" s="25" t="n">
        <v>1</v>
      </c>
      <c r="E24" s="25" t="n">
        <v>2</v>
      </c>
      <c r="F24" s="22">
        <f>IF(D24&gt;E24,"Local",IF(D24=E24,"Empate","Visitante"))</f>
        <v/>
      </c>
      <c r="G24" s="24">
        <f>D24-E24</f>
        <v/>
      </c>
    </row>
    <row r="25">
      <c r="A25" s="34" t="n">
        <v>4</v>
      </c>
      <c r="B25" s="22" t="inlineStr">
        <is>
          <t>Estados Unidos</t>
        </is>
      </c>
      <c r="C25" s="22" t="inlineStr">
        <is>
          <t>Bélgica</t>
        </is>
      </c>
      <c r="D25" s="25" t="n">
        <v>1</v>
      </c>
      <c r="E25" s="25" t="n">
        <v>2</v>
      </c>
      <c r="F25" s="22">
        <f>IF(D25&gt;E25,"Local",IF(D25=E25,"Empate","Visitante"))</f>
        <v/>
      </c>
      <c r="G25" s="24">
        <f>D25-E25</f>
        <v/>
      </c>
    </row>
    <row r="26">
      <c r="A26" s="34" t="n">
        <v>5</v>
      </c>
      <c r="B26" s="22" t="inlineStr">
        <is>
          <t>Brasil</t>
        </is>
      </c>
      <c r="C26" s="22" t="inlineStr">
        <is>
          <t>Noruega</t>
        </is>
      </c>
      <c r="D26" s="25" t="n">
        <v>3</v>
      </c>
      <c r="E26" s="25" t="n">
        <v>1</v>
      </c>
      <c r="F26" s="22">
        <f>IF(D26&gt;E26,"Local",IF(D26=E26,"Empate","Visitante"))</f>
        <v/>
      </c>
      <c r="G26" s="24">
        <f>D26-E26</f>
        <v/>
      </c>
    </row>
    <row r="27">
      <c r="A27" s="34" t="n">
        <v>6</v>
      </c>
      <c r="B27" s="22" t="inlineStr">
        <is>
          <t>México</t>
        </is>
      </c>
      <c r="C27" s="22" t="inlineStr">
        <is>
          <t>Inglaterra</t>
        </is>
      </c>
      <c r="D27" s="25" t="n">
        <v>1</v>
      </c>
      <c r="E27" s="25" t="n">
        <v>2</v>
      </c>
      <c r="F27" s="22">
        <f>IF(D27&gt;E27,"Local",IF(D27=E27,"Empate","Visitante"))</f>
        <v/>
      </c>
      <c r="G27" s="24">
        <f>D27-E27</f>
        <v/>
      </c>
    </row>
    <row r="28">
      <c r="A28" s="34" t="n">
        <v>7</v>
      </c>
      <c r="B28" s="22" t="inlineStr">
        <is>
          <t>Argentina</t>
        </is>
      </c>
      <c r="C28" s="22" t="inlineStr">
        <is>
          <t>Egipto</t>
        </is>
      </c>
      <c r="D28" s="25" t="n">
        <v>2</v>
      </c>
      <c r="E28" s="25" t="n">
        <v>0</v>
      </c>
      <c r="F28" s="22">
        <f>IF(D28&gt;E28,"Local",IF(D28=E28,"Empate","Visitante"))</f>
        <v/>
      </c>
      <c r="G28" s="24">
        <f>D28-E28</f>
        <v/>
      </c>
    </row>
    <row r="29">
      <c r="A29" s="34" t="n">
        <v>8</v>
      </c>
      <c r="B29" s="22" t="inlineStr">
        <is>
          <t>Suiza</t>
        </is>
      </c>
      <c r="C29" s="22" t="inlineStr">
        <is>
          <t>Colombia</t>
        </is>
      </c>
      <c r="D29" s="25" t="n">
        <v>1</v>
      </c>
      <c r="E29" s="25" t="n">
        <v>2</v>
      </c>
      <c r="F29" s="22">
        <f>IF(D29&gt;E29,"Local",IF(D29=E29,"Empate","Visitante"))</f>
        <v/>
      </c>
      <c r="G29" s="24">
        <f>D29-E29</f>
        <v/>
      </c>
    </row>
    <row r="31">
      <c r="A31" s="30" t="inlineStr">
        <is>
          <t>PARTIDOS DE CUARTOS DE FINAL</t>
        </is>
      </c>
      <c r="B31" s="28" t="n"/>
      <c r="C31" s="28" t="n"/>
      <c r="D31" s="28" t="n"/>
      <c r="E31" s="28" t="n"/>
      <c r="F31" s="28" t="n"/>
      <c r="G31" s="29" t="n"/>
    </row>
    <row r="32">
      <c r="A32" s="23" t="inlineStr">
        <is>
          <t>Partido</t>
        </is>
      </c>
      <c r="B32" s="23" t="inlineStr">
        <is>
          <t>Local</t>
        </is>
      </c>
      <c r="C32" s="23" t="inlineStr">
        <is>
          <t>Visitante</t>
        </is>
      </c>
      <c r="D32" s="23" t="inlineStr">
        <is>
          <t>G_Local</t>
        </is>
      </c>
      <c r="E32" s="23" t="inlineStr">
        <is>
          <t>G_Visitante</t>
        </is>
      </c>
      <c r="F32" s="23" t="inlineStr">
        <is>
          <t>Resultado</t>
        </is>
      </c>
      <c r="G32" s="1" t="inlineStr">
        <is>
          <t>Diferencia</t>
        </is>
      </c>
    </row>
    <row r="33">
      <c r="A33" s="34" t="n">
        <v>1</v>
      </c>
      <c r="B33" s="22" t="inlineStr">
        <is>
          <t>Francia</t>
        </is>
      </c>
      <c r="C33" s="22" t="inlineStr">
        <is>
          <t>Marruecos</t>
        </is>
      </c>
      <c r="D33" s="3" t="n">
        <v>2</v>
      </c>
      <c r="E33" s="3" t="n">
        <v>1</v>
      </c>
      <c r="F33" s="34">
        <f>IF(D33&gt;E33,"Local",IF(D33=E33,"Empate","Visitante"))</f>
        <v/>
      </c>
      <c r="G33" s="1">
        <f>D33-E33</f>
        <v/>
      </c>
    </row>
    <row r="34">
      <c r="A34" s="34" t="n">
        <v>2</v>
      </c>
      <c r="B34" s="22" t="inlineStr">
        <is>
          <t>España</t>
        </is>
      </c>
      <c r="C34" s="22" t="inlineStr">
        <is>
          <t>Bélgica</t>
        </is>
      </c>
      <c r="D34" s="3" t="n">
        <v>2</v>
      </c>
      <c r="E34" s="3" t="n">
        <v>0</v>
      </c>
      <c r="F34" s="34">
        <f>IF(D34&gt;E34,"Local",IF(D34=E34,"Empate","Visitante"))</f>
        <v/>
      </c>
      <c r="G34" s="1">
        <f>D34-E34</f>
        <v/>
      </c>
    </row>
    <row r="35">
      <c r="A35" s="34" t="n">
        <v>3</v>
      </c>
      <c r="B35" s="22" t="inlineStr">
        <is>
          <t>Noruega</t>
        </is>
      </c>
      <c r="C35" s="22">
        <f t="array" ref="C35">IF(OR(INDEX($F$23:$F$29,(ROW()-33)*2+2)="Empate",INDEX($F$23:$F$29,(ROW()-33)*2+2)=""),"",IF(INDEX($F$23:$F$29,(ROW()-33)*2+2)="Local",INDEX($B$23:$B$29,(ROW()-33)*2+2),INDEX($C$23:$C$29,(ROW()-33)*2+2)))</f>
        <v/>
      </c>
      <c r="D35" s="3" t="n">
        <v>1</v>
      </c>
      <c r="E35" s="3" t="n">
        <v>2</v>
      </c>
      <c r="F35" s="34">
        <f>IF(D35&gt;E35,"Local",IF(D35=E35,"Empate","Visitante"))</f>
        <v/>
      </c>
      <c r="G35" s="1">
        <f>D35-E35</f>
        <v/>
      </c>
    </row>
    <row r="36">
      <c r="A36" s="34" t="n">
        <v>4</v>
      </c>
      <c r="B36" s="22" t="inlineStr">
        <is>
          <t>Argentina</t>
        </is>
      </c>
      <c r="C36" s="22" t="inlineStr">
        <is>
          <t>Suiza</t>
        </is>
      </c>
      <c r="D36" s="3" t="n">
        <v>2</v>
      </c>
      <c r="E36" s="3" t="n">
        <v>1</v>
      </c>
      <c r="F36" s="34">
        <f>IF(D36&gt;E36,"Local",IF(D36=E36,"Empate","Visitante"))</f>
        <v/>
      </c>
      <c r="G36" s="1">
        <f>D36-E36</f>
        <v/>
      </c>
    </row>
    <row r="38">
      <c r="A38" s="30" t="inlineStr">
        <is>
          <t>PARTIDOS DE SEMIFINAL</t>
        </is>
      </c>
      <c r="B38" s="28" t="n"/>
      <c r="C38" s="28" t="n"/>
      <c r="D38" s="28" t="n"/>
      <c r="E38" s="28" t="n"/>
      <c r="F38" s="28" t="n"/>
      <c r="G38" s="29" t="n"/>
    </row>
    <row r="39">
      <c r="A39" s="23" t="inlineStr">
        <is>
          <t>Partido</t>
        </is>
      </c>
      <c r="B39" s="23" t="inlineStr">
        <is>
          <t>Local</t>
        </is>
      </c>
      <c r="C39" s="23" t="inlineStr">
        <is>
          <t>Visitante</t>
        </is>
      </c>
      <c r="D39" s="23" t="inlineStr">
        <is>
          <t>G_Local</t>
        </is>
      </c>
      <c r="E39" s="23" t="inlineStr">
        <is>
          <t>G_Visitante</t>
        </is>
      </c>
      <c r="F39" s="23" t="inlineStr">
        <is>
          <t>Resultado</t>
        </is>
      </c>
      <c r="G39" s="1" t="inlineStr">
        <is>
          <t>Diferencia</t>
        </is>
      </c>
    </row>
    <row r="40">
      <c r="A40" s="34" t="n">
        <v>1</v>
      </c>
      <c r="B40" s="22" t="inlineStr">
        <is>
          <t>Francia</t>
        </is>
      </c>
      <c r="C40" s="22" t="inlineStr">
        <is>
          <t>España</t>
        </is>
      </c>
      <c r="D40" s="3" t="n">
        <v>2</v>
      </c>
      <c r="E40" s="3" t="n">
        <v>3</v>
      </c>
      <c r="F40" s="34">
        <f>IF(D40&gt;E40,"Local",IF(D40=E40,"Empate","Visitante"))</f>
        <v/>
      </c>
      <c r="G40" s="1">
        <f>D40-E40</f>
        <v/>
      </c>
    </row>
    <row r="41">
      <c r="A41" s="34" t="n">
        <v>2</v>
      </c>
      <c r="B41" s="22" t="inlineStr">
        <is>
          <t>Inglaterra</t>
        </is>
      </c>
      <c r="C41" s="22" t="inlineStr">
        <is>
          <t>Argentina</t>
        </is>
      </c>
      <c r="D41" s="3" t="n">
        <v>1</v>
      </c>
      <c r="E41" s="3" t="n">
        <v>1</v>
      </c>
      <c r="F41" s="34">
        <f>IF(D41&gt;E41,"Local",IF(D41=E41,"Empate","Visitante"))</f>
        <v/>
      </c>
      <c r="G41" s="1">
        <f>D41-E41</f>
        <v/>
      </c>
    </row>
    <row r="43">
      <c r="A43" s="30" t="inlineStr">
        <is>
          <t>PARTIDOS DE TERCEROS</t>
        </is>
      </c>
      <c r="B43" s="28" t="n"/>
      <c r="C43" s="28" t="n"/>
      <c r="D43" s="28" t="n"/>
      <c r="E43" s="28" t="n"/>
      <c r="F43" s="28" t="n"/>
      <c r="G43" s="29" t="n"/>
    </row>
    <row r="44">
      <c r="A44" s="23" t="inlineStr">
        <is>
          <t>Partido</t>
        </is>
      </c>
      <c r="B44" s="23" t="inlineStr">
        <is>
          <t>Local</t>
        </is>
      </c>
      <c r="C44" s="23" t="inlineStr">
        <is>
          <t>Visitante</t>
        </is>
      </c>
      <c r="D44" s="23" t="inlineStr">
        <is>
          <t>G_Local</t>
        </is>
      </c>
      <c r="E44" s="23" t="inlineStr">
        <is>
          <t>G_Visitante</t>
        </is>
      </c>
      <c r="F44" s="23" t="inlineStr">
        <is>
          <t>Resultado</t>
        </is>
      </c>
      <c r="G44" s="1" t="inlineStr">
        <is>
          <t>Diferencia</t>
        </is>
      </c>
    </row>
    <row r="45">
      <c r="A45" s="34" t="n">
        <v>1</v>
      </c>
      <c r="B45" s="22" t="inlineStr">
        <is>
          <t>Francia</t>
        </is>
      </c>
      <c r="C45" s="22" t="inlineStr">
        <is>
          <t>Inglaterra</t>
        </is>
      </c>
      <c r="D45" s="3" t="n">
        <v>3</v>
      </c>
      <c r="E45" s="3" t="n">
        <v>1</v>
      </c>
      <c r="F45" s="34">
        <f>IF(D45&gt;E45,"Local",IF(D45=E45,"Empate","Visitante"))</f>
        <v/>
      </c>
      <c r="G45" s="1">
        <f>D45-E45</f>
        <v/>
      </c>
    </row>
    <row r="47">
      <c r="A47" s="27" t="inlineStr">
        <is>
          <t>PARTIDOS DE FINAL</t>
        </is>
      </c>
      <c r="B47" s="28" t="n"/>
      <c r="C47" s="28" t="n"/>
      <c r="D47" s="28" t="n"/>
      <c r="E47" s="28" t="n"/>
      <c r="F47" s="28" t="n"/>
      <c r="G47" s="29" t="n"/>
    </row>
    <row r="48">
      <c r="A48" s="23" t="inlineStr">
        <is>
          <t>Partido</t>
        </is>
      </c>
      <c r="B48" s="23" t="inlineStr">
        <is>
          <t>Local</t>
        </is>
      </c>
      <c r="C48" s="23" t="inlineStr">
        <is>
          <t>Visitante</t>
        </is>
      </c>
      <c r="D48" s="23" t="inlineStr">
        <is>
          <t>G_Local</t>
        </is>
      </c>
      <c r="E48" s="23" t="inlineStr">
        <is>
          <t>G_Visitante</t>
        </is>
      </c>
      <c r="F48" s="23" t="inlineStr">
        <is>
          <t>Resultado</t>
        </is>
      </c>
      <c r="G48" s="1" t="inlineStr">
        <is>
          <t>Diferencia</t>
        </is>
      </c>
    </row>
    <row r="49">
      <c r="A49" s="34" t="n">
        <v>1</v>
      </c>
      <c r="B49" s="22" t="inlineStr">
        <is>
          <t>España</t>
        </is>
      </c>
      <c r="C49" s="22" t="inlineStr">
        <is>
          <t>Argentina</t>
        </is>
      </c>
      <c r="D49" s="3" t="n">
        <v>2</v>
      </c>
      <c r="E49" s="3" t="n">
        <v>1</v>
      </c>
      <c r="F49" s="34">
        <f>IF(D49&gt;E49,"Local",IF(D49=E49,"Empate","Visitante"))</f>
        <v/>
      </c>
      <c r="G49" s="1">
        <f>D49-E49</f>
        <v/>
      </c>
    </row>
  </sheetData>
  <mergeCells count="6">
    <mergeCell ref="A1:G1"/>
    <mergeCell ref="A31:G31"/>
    <mergeCell ref="A20:G20"/>
    <mergeCell ref="A38:G38"/>
    <mergeCell ref="A43:G43"/>
    <mergeCell ref="A47:G47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5"/>
  <sheetViews>
    <sheetView topLeftCell="H18" workbookViewId="0">
      <selection activeCell="I73" sqref="I73:S85"/>
    </sheetView>
  </sheetViews>
  <sheetFormatPr baseColWidth="10" defaultRowHeight="15"/>
  <cols>
    <col width="20.1640625" bestFit="1" customWidth="1" min="3" max="4"/>
    <col width="20.1640625" bestFit="1" customWidth="1" min="12" max="12"/>
    <col width="12.33203125" customWidth="1" min="14" max="14"/>
    <col width="10.83203125" customWidth="1" min="20" max="29"/>
  </cols>
  <sheetData>
    <row r="1">
      <c r="A1" s="34" t="inlineStr">
        <is>
          <t>Partido</t>
        </is>
      </c>
      <c r="B1" s="34" t="inlineStr">
        <is>
          <t>Grupo</t>
        </is>
      </c>
      <c r="C1" s="34" t="inlineStr">
        <is>
          <t>Local</t>
        </is>
      </c>
      <c r="D1" s="34" t="inlineStr">
        <is>
          <t>Visitante</t>
        </is>
      </c>
      <c r="E1" s="34" t="inlineStr">
        <is>
          <t>G_Local</t>
        </is>
      </c>
      <c r="F1" s="34" t="inlineStr">
        <is>
          <t>G_Visitante</t>
        </is>
      </c>
      <c r="G1" s="34" t="inlineStr">
        <is>
          <t>Resultado</t>
        </is>
      </c>
      <c r="H1" s="1" t="inlineStr">
        <is>
          <t>Diferencia</t>
        </is>
      </c>
      <c r="I1" s="1" t="n"/>
      <c r="J1" s="6" t="inlineStr">
        <is>
          <t>Grupo</t>
        </is>
      </c>
      <c r="K1" s="7" t="inlineStr">
        <is>
          <t>Posición</t>
        </is>
      </c>
      <c r="L1" s="34" t="inlineStr">
        <is>
          <t>Equipo</t>
        </is>
      </c>
      <c r="M1" s="34" t="inlineStr">
        <is>
          <t>Puntos</t>
        </is>
      </c>
      <c r="N1" s="34" t="inlineStr">
        <is>
          <t>Diferencia</t>
        </is>
      </c>
      <c r="O1" s="34" t="inlineStr">
        <is>
          <t>GF</t>
        </is>
      </c>
      <c r="P1" s="5" t="inlineStr">
        <is>
          <t>GC</t>
        </is>
      </c>
      <c r="Q1" s="5" t="inlineStr">
        <is>
          <t>Victorias</t>
        </is>
      </c>
      <c r="R1" s="5" t="inlineStr">
        <is>
          <t>Empates</t>
        </is>
      </c>
      <c r="S1" s="7" t="inlineStr">
        <is>
          <t>Derrotas</t>
        </is>
      </c>
      <c r="T1" s="5" t="inlineStr">
        <is>
          <t>Victorias_L</t>
        </is>
      </c>
      <c r="U1" s="5" t="inlineStr">
        <is>
          <t>Victorias_V</t>
        </is>
      </c>
      <c r="V1" s="5" t="inlineStr">
        <is>
          <t>Empates_L</t>
        </is>
      </c>
      <c r="W1" s="5" t="inlineStr">
        <is>
          <t>Empates_V</t>
        </is>
      </c>
      <c r="X1" s="5" t="inlineStr">
        <is>
          <t>Derrotas_L</t>
        </is>
      </c>
      <c r="Y1" s="5" t="inlineStr">
        <is>
          <t>Derrotas_V</t>
        </is>
      </c>
      <c r="Z1" s="5" t="inlineStr">
        <is>
          <t>GF_L</t>
        </is>
      </c>
      <c r="AA1" s="5" t="inlineStr">
        <is>
          <t>GF_V</t>
        </is>
      </c>
      <c r="AB1" s="5" t="inlineStr">
        <is>
          <t>GC_L</t>
        </is>
      </c>
      <c r="AC1" s="5" t="inlineStr">
        <is>
          <t>GC_V</t>
        </is>
      </c>
    </row>
    <row r="2">
      <c r="A2" s="34" t="n">
        <v>1</v>
      </c>
      <c r="B2" s="34" t="inlineStr">
        <is>
          <t>A</t>
        </is>
      </c>
      <c r="C2" s="34" t="inlineStr">
        <is>
          <t>México</t>
        </is>
      </c>
      <c r="D2" s="34" t="inlineStr">
        <is>
          <t>Sudáfrica</t>
        </is>
      </c>
      <c r="E2" s="3" t="n">
        <v>2</v>
      </c>
      <c r="F2" s="3" t="n">
        <v>0</v>
      </c>
      <c r="G2" s="34">
        <f>IF(E2&gt;F2,"Local",IF(E2=F2,"Empate","Visitante"))</f>
        <v/>
      </c>
      <c r="H2" s="1">
        <f>E2-F2</f>
        <v/>
      </c>
      <c r="I2" s="1" t="n"/>
      <c r="J2" s="34" t="inlineStr">
        <is>
          <t>A</t>
        </is>
      </c>
      <c r="K2" s="8" t="n">
        <v>1</v>
      </c>
      <c r="L2" s="34" t="inlineStr">
        <is>
          <t>México</t>
        </is>
      </c>
      <c r="M2" s="3">
        <f>(Q2*3)+R2</f>
        <v/>
      </c>
      <c r="N2" s="3">
        <f>O2-P2</f>
        <v/>
      </c>
      <c r="O2" s="3">
        <f>Z2+AA2</f>
        <v/>
      </c>
      <c r="P2" s="3">
        <f>AB2+AC2</f>
        <v/>
      </c>
      <c r="Q2" s="34">
        <f>T2+U2</f>
        <v/>
      </c>
      <c r="R2" s="34">
        <f>V2+W2</f>
        <v/>
      </c>
      <c r="S2" s="9">
        <f>X2+Y2</f>
        <v/>
      </c>
      <c r="T2" s="34">
        <f>COUNTIFS(C:C,L2,G:G,"Local")</f>
        <v/>
      </c>
      <c r="U2" s="34">
        <f>COUNTIFS(D:D,L2,G:G,"Visitante")</f>
        <v/>
      </c>
      <c r="V2" s="34">
        <f>COUNTIFS(C:C,L2,G:G,"Empate")</f>
        <v/>
      </c>
      <c r="W2" s="34">
        <f>COUNTIFS(D:D,L2,G:G,"Empate")</f>
        <v/>
      </c>
      <c r="X2" s="34">
        <f>COUNTIFS(C:C,L2,G:G,"Visitante")</f>
        <v/>
      </c>
      <c r="Y2" s="34">
        <f>COUNTIFS(D:D,L2,G:G,"Local")</f>
        <v/>
      </c>
      <c r="Z2" s="34">
        <f>SUMIF(C:C,L2,E:E)</f>
        <v/>
      </c>
      <c r="AA2" s="34">
        <f>SUMIF(D:D,L2,F:F)</f>
        <v/>
      </c>
      <c r="AB2" s="34">
        <f>SUMIF(C:C,L2,F:F)</f>
        <v/>
      </c>
      <c r="AC2" s="34">
        <f>SUMIF(D:D,L2,E:E)</f>
        <v/>
      </c>
    </row>
    <row r="3">
      <c r="A3" s="34" t="n">
        <v>2</v>
      </c>
      <c r="B3" s="34" t="inlineStr">
        <is>
          <t>A</t>
        </is>
      </c>
      <c r="C3" s="34" t="inlineStr">
        <is>
          <t>Corea del Sur</t>
        </is>
      </c>
      <c r="D3" s="34" t="inlineStr">
        <is>
          <t>República Checa</t>
        </is>
      </c>
      <c r="E3" s="3" t="n">
        <v>1</v>
      </c>
      <c r="F3" s="3" t="n">
        <v>1</v>
      </c>
      <c r="G3" s="34">
        <f>IF(E3&gt;F3,"Local",IF(E3=F3,"Empate","Visitante"))</f>
        <v/>
      </c>
      <c r="H3" s="1">
        <f>E3-F3</f>
        <v/>
      </c>
      <c r="I3" s="1" t="n"/>
      <c r="J3" s="32" t="n"/>
      <c r="K3" s="8" t="n">
        <v>2</v>
      </c>
      <c r="L3" s="34" t="inlineStr">
        <is>
          <t>Corea del Sur</t>
        </is>
      </c>
      <c r="M3" s="3">
        <f>(Q3*3)+R3</f>
        <v/>
      </c>
      <c r="N3" s="3">
        <f>O3-P3</f>
        <v/>
      </c>
      <c r="O3" s="3">
        <f>Z3+AA3</f>
        <v/>
      </c>
      <c r="P3" s="3">
        <f>AB3+AC3</f>
        <v/>
      </c>
      <c r="Q3" s="34">
        <f>T3+U3</f>
        <v/>
      </c>
      <c r="R3" s="34">
        <f>V3+W3</f>
        <v/>
      </c>
      <c r="S3" s="9">
        <f>X3+Y3</f>
        <v/>
      </c>
      <c r="T3" s="34">
        <f>COUNTIFS(C:C,L3,G:G,"Local")</f>
        <v/>
      </c>
      <c r="U3" s="34">
        <f>COUNTIFS(D:D,L3,G:G,"Visitante")</f>
        <v/>
      </c>
      <c r="V3" s="34">
        <f>COUNTIFS(C:C,L3,G:G,"Empate")</f>
        <v/>
      </c>
      <c r="W3" s="34">
        <f>COUNTIFS(D:D,L3,G:G,"Empate")</f>
        <v/>
      </c>
      <c r="X3" s="34">
        <f>COUNTIFS(C:C,L3,G:G,"Visitante")</f>
        <v/>
      </c>
      <c r="Y3" s="34">
        <f>COUNTIFS(D:D,L3,G:G,"Local")</f>
        <v/>
      </c>
      <c r="Z3" s="34">
        <f>SUMIF(C:C,L3,E:E)</f>
        <v/>
      </c>
      <c r="AA3" s="34">
        <f>SUMIF(D:D,L3,F:F)</f>
        <v/>
      </c>
      <c r="AB3" s="34">
        <f>SUMIF(C:C,L3,F:F)</f>
        <v/>
      </c>
      <c r="AC3" s="34">
        <f>SUMIF(D:D,L3,E:E)</f>
        <v/>
      </c>
    </row>
    <row r="4">
      <c r="A4" s="34" t="n">
        <v>3</v>
      </c>
      <c r="B4" s="34" t="inlineStr">
        <is>
          <t>A</t>
        </is>
      </c>
      <c r="C4" s="34" t="inlineStr">
        <is>
          <t>República Checa</t>
        </is>
      </c>
      <c r="D4" s="34" t="inlineStr">
        <is>
          <t>Sudáfrica</t>
        </is>
      </c>
      <c r="E4" s="3" t="n">
        <v>3</v>
      </c>
      <c r="F4" s="3" t="n">
        <v>1</v>
      </c>
      <c r="G4" s="34">
        <f>IF(E4&gt;F4,"Local",IF(E4=F4,"Empate","Visitante"))</f>
        <v/>
      </c>
      <c r="H4" s="1">
        <f>E4-F4</f>
        <v/>
      </c>
      <c r="I4" s="1" t="n"/>
      <c r="J4" s="32" t="n"/>
      <c r="K4" s="8" t="n">
        <v>3</v>
      </c>
      <c r="L4" s="34" t="inlineStr">
        <is>
          <t>República Checa</t>
        </is>
      </c>
      <c r="M4" s="3">
        <f>(Q4*3)+R4</f>
        <v/>
      </c>
      <c r="N4" s="3">
        <f>O4-P4</f>
        <v/>
      </c>
      <c r="O4" s="3">
        <f>Z4+AA4</f>
        <v/>
      </c>
      <c r="P4" s="3">
        <f>AB4+AC4</f>
        <v/>
      </c>
      <c r="Q4" s="34">
        <f>T4+U4</f>
        <v/>
      </c>
      <c r="R4" s="34">
        <f>V4+W4</f>
        <v/>
      </c>
      <c r="S4" s="9">
        <f>X4+Y4</f>
        <v/>
      </c>
      <c r="T4" s="34">
        <f>COUNTIFS(C:C,L4,G:G,"Local")</f>
        <v/>
      </c>
      <c r="U4" s="34">
        <f>COUNTIFS(D:D,L4,G:G,"Visitante")</f>
        <v/>
      </c>
      <c r="V4" s="34">
        <f>COUNTIFS(C:C,L4,G:G,"Empate")</f>
        <v/>
      </c>
      <c r="W4" s="34">
        <f>COUNTIFS(D:D,L4,G:G,"Empate")</f>
        <v/>
      </c>
      <c r="X4" s="34">
        <f>COUNTIFS(C:C,L4,G:G,"Visitante")</f>
        <v/>
      </c>
      <c r="Y4" s="34">
        <f>COUNTIFS(D:D,L4,G:G,"Local")</f>
        <v/>
      </c>
      <c r="Z4" s="34">
        <f>SUMIF(C:C,L4,E:E)</f>
        <v/>
      </c>
      <c r="AA4" s="34">
        <f>SUMIF(D:D,L4,F:F)</f>
        <v/>
      </c>
      <c r="AB4" s="34">
        <f>SUMIF(C:C,L4,F:F)</f>
        <v/>
      </c>
      <c r="AC4" s="34">
        <f>SUMIF(D:D,L4,E:E)</f>
        <v/>
      </c>
    </row>
    <row r="5">
      <c r="A5" s="34" t="n">
        <v>4</v>
      </c>
      <c r="B5" s="34" t="inlineStr">
        <is>
          <t>A</t>
        </is>
      </c>
      <c r="C5" s="34" t="inlineStr">
        <is>
          <t>México</t>
        </is>
      </c>
      <c r="D5" s="34" t="inlineStr">
        <is>
          <t>Corea del Sur</t>
        </is>
      </c>
      <c r="E5" s="3" t="n">
        <v>2</v>
      </c>
      <c r="F5" s="3" t="n">
        <v>2</v>
      </c>
      <c r="G5" s="34">
        <f>IF(E5&gt;F5,"Local",IF(E5=F5,"Empate","Visitante"))</f>
        <v/>
      </c>
      <c r="H5" s="1">
        <f>E5-F5</f>
        <v/>
      </c>
      <c r="I5" s="1" t="n"/>
      <c r="J5" s="33" t="n"/>
      <c r="K5" s="10" t="n">
        <v>4</v>
      </c>
      <c r="L5" s="4" t="inlineStr">
        <is>
          <t>Sudáfrica</t>
        </is>
      </c>
      <c r="M5" s="11">
        <f>(Q5*3)+R5</f>
        <v/>
      </c>
      <c r="N5" s="11">
        <f>O5-P5</f>
        <v/>
      </c>
      <c r="O5" s="11">
        <f>Z5+AA5</f>
        <v/>
      </c>
      <c r="P5" s="11">
        <f>AB5+AC5</f>
        <v/>
      </c>
      <c r="Q5" s="4">
        <f>T5+U5</f>
        <v/>
      </c>
      <c r="R5" s="4">
        <f>V5+W5</f>
        <v/>
      </c>
      <c r="S5" s="12">
        <f>X5+Y5</f>
        <v/>
      </c>
      <c r="T5" s="34">
        <f>COUNTIFS(C:C,L5,G:G,"Local")</f>
        <v/>
      </c>
      <c r="U5" s="34">
        <f>COUNTIFS(D:D,L5,G:G,"Visitante")</f>
        <v/>
      </c>
      <c r="V5" s="34">
        <f>COUNTIFS(C:C,L5,G:G,"Empate")</f>
        <v/>
      </c>
      <c r="W5" s="34">
        <f>COUNTIFS(D:D,L5,G:G,"Empate")</f>
        <v/>
      </c>
      <c r="X5" s="34">
        <f>COUNTIFS(C:C,L5,G:G,"Visitante")</f>
        <v/>
      </c>
      <c r="Y5" s="34">
        <f>COUNTIFS(D:D,L5,G:G,"Local")</f>
        <v/>
      </c>
      <c r="Z5" s="34">
        <f>SUMIF(C:C,L5,E:E)</f>
        <v/>
      </c>
      <c r="AA5" s="34">
        <f>SUMIF(D:D,L5,F:F)</f>
        <v/>
      </c>
      <c r="AB5" s="34">
        <f>SUMIF(C:C,L5,F:F)</f>
        <v/>
      </c>
      <c r="AC5" s="34">
        <f>SUMIF(D:D,L5,E:E)</f>
        <v/>
      </c>
    </row>
    <row r="6">
      <c r="A6" s="34" t="n">
        <v>5</v>
      </c>
      <c r="B6" s="34" t="inlineStr">
        <is>
          <t>A</t>
        </is>
      </c>
      <c r="C6" s="34" t="inlineStr">
        <is>
          <t>República Checa</t>
        </is>
      </c>
      <c r="D6" s="34" t="inlineStr">
        <is>
          <t>México</t>
        </is>
      </c>
      <c r="E6" s="3" t="n">
        <v>1</v>
      </c>
      <c r="F6" s="3" t="n">
        <v>1</v>
      </c>
      <c r="G6" s="34">
        <f>IF(E6&gt;F6,"Local",IF(E6=F6,"Empate","Visitante"))</f>
        <v/>
      </c>
      <c r="H6" s="1">
        <f>E6-F6</f>
        <v/>
      </c>
      <c r="I6" s="1" t="n"/>
      <c r="J6" s="1" t="n"/>
    </row>
    <row r="7">
      <c r="A7" s="34" t="n">
        <v>6</v>
      </c>
      <c r="B7" s="34" t="inlineStr">
        <is>
          <t>A</t>
        </is>
      </c>
      <c r="C7" s="34" t="inlineStr">
        <is>
          <t>Sudáfrica</t>
        </is>
      </c>
      <c r="D7" s="34" t="inlineStr">
        <is>
          <t>Corea del Sur</t>
        </is>
      </c>
      <c r="E7" s="3" t="n">
        <v>0</v>
      </c>
      <c r="F7" s="3" t="n">
        <v>1</v>
      </c>
      <c r="G7" s="34">
        <f>IF(E7&gt;F7,"Local",IF(E7=F7,"Empate","Visitante"))</f>
        <v/>
      </c>
      <c r="H7" s="1">
        <f>E7-F7</f>
        <v/>
      </c>
      <c r="I7" s="1" t="n"/>
      <c r="J7" s="6" t="inlineStr">
        <is>
          <t>Grupo</t>
        </is>
      </c>
      <c r="K7" s="7" t="inlineStr">
        <is>
          <t>Posición</t>
        </is>
      </c>
      <c r="L7" s="34" t="inlineStr">
        <is>
          <t>Equipo</t>
        </is>
      </c>
      <c r="M7" s="34" t="inlineStr">
        <is>
          <t>Puntos</t>
        </is>
      </c>
      <c r="N7" s="34" t="inlineStr">
        <is>
          <t>Diferencia</t>
        </is>
      </c>
      <c r="O7" s="34" t="inlineStr">
        <is>
          <t>GF</t>
        </is>
      </c>
      <c r="P7" s="5" t="inlineStr">
        <is>
          <t>GC</t>
        </is>
      </c>
      <c r="Q7" s="5" t="inlineStr">
        <is>
          <t>Victorias</t>
        </is>
      </c>
      <c r="R7" s="5" t="inlineStr">
        <is>
          <t>Empates</t>
        </is>
      </c>
      <c r="S7" s="7" t="inlineStr">
        <is>
          <t>Derrotas</t>
        </is>
      </c>
      <c r="T7" s="5" t="inlineStr">
        <is>
          <t>Victorias_L</t>
        </is>
      </c>
      <c r="U7" s="5" t="inlineStr">
        <is>
          <t>Victorias_V</t>
        </is>
      </c>
      <c r="V7" s="5" t="inlineStr">
        <is>
          <t>Empates_L</t>
        </is>
      </c>
      <c r="W7" s="5" t="inlineStr">
        <is>
          <t>Empates_V</t>
        </is>
      </c>
      <c r="X7" s="5" t="inlineStr">
        <is>
          <t>Derrotas_L</t>
        </is>
      </c>
      <c r="Y7" s="5" t="inlineStr">
        <is>
          <t>Derrotas_V</t>
        </is>
      </c>
      <c r="Z7" s="5" t="inlineStr">
        <is>
          <t>GF_L</t>
        </is>
      </c>
      <c r="AA7" s="5" t="inlineStr">
        <is>
          <t>GF_V</t>
        </is>
      </c>
      <c r="AB7" s="5" t="inlineStr">
        <is>
          <t>GC_L</t>
        </is>
      </c>
      <c r="AC7" s="5" t="inlineStr">
        <is>
          <t>GC_V</t>
        </is>
      </c>
    </row>
    <row r="8">
      <c r="A8" s="34" t="n">
        <v>7</v>
      </c>
      <c r="B8" s="34" t="inlineStr">
        <is>
          <t>B</t>
        </is>
      </c>
      <c r="C8" s="34" t="inlineStr">
        <is>
          <t>Canadá</t>
        </is>
      </c>
      <c r="D8" s="34" t="inlineStr">
        <is>
          <t>Bosnia y Herzegovina</t>
        </is>
      </c>
      <c r="E8" s="3" t="n">
        <v>1</v>
      </c>
      <c r="F8" s="3" t="n">
        <v>2</v>
      </c>
      <c r="G8" s="34">
        <f>IF(E8&gt;F8,"Local",IF(E8=F8,"Empate","Visitante"))</f>
        <v/>
      </c>
      <c r="H8" s="1">
        <f>E8-F8</f>
        <v/>
      </c>
      <c r="I8" s="1" t="n"/>
      <c r="J8" s="34" t="inlineStr">
        <is>
          <t>B</t>
        </is>
      </c>
      <c r="K8" s="8" t="n">
        <v>1</v>
      </c>
      <c r="L8" s="34" t="inlineStr">
        <is>
          <t>Suiza</t>
        </is>
      </c>
      <c r="M8" s="3">
        <f>(Q8*3)+R8</f>
        <v/>
      </c>
      <c r="N8" s="3">
        <f>O8-P8</f>
        <v/>
      </c>
      <c r="O8" s="3">
        <f>Z8+AA8</f>
        <v/>
      </c>
      <c r="P8" s="3">
        <f>AB8+AC8</f>
        <v/>
      </c>
      <c r="Q8" s="34">
        <f>T8+U8</f>
        <v/>
      </c>
      <c r="R8" s="34">
        <f>V8+W8</f>
        <v/>
      </c>
      <c r="S8" s="9">
        <f>X8+Y8</f>
        <v/>
      </c>
      <c r="T8" s="34">
        <f>COUNTIFS(C:C,L8,G:G,"Local")</f>
        <v/>
      </c>
      <c r="U8" s="34">
        <f>COUNTIFS(D:D,L8,G:G,"Visitante")</f>
        <v/>
      </c>
      <c r="V8" s="34">
        <f>COUNTIFS(C:C,L8,G:G,"Empate")</f>
        <v/>
      </c>
      <c r="W8" s="34">
        <f>COUNTIFS(D:D,L8,G:G,"Empate")</f>
        <v/>
      </c>
      <c r="X8" s="34">
        <f>COUNTIFS(C:C,L8,G:G,"Visitante")</f>
        <v/>
      </c>
      <c r="Y8" s="34">
        <f>COUNTIFS(D:D,L8,G:G,"Local")</f>
        <v/>
      </c>
      <c r="Z8" s="34">
        <f>SUMIF(C:C,L8,E:E)</f>
        <v/>
      </c>
      <c r="AA8" s="34">
        <f>SUMIF(D:D,L8,F:F)</f>
        <v/>
      </c>
      <c r="AB8" s="34">
        <f>SUMIF(C:C,L8,F:F)</f>
        <v/>
      </c>
      <c r="AC8" s="34">
        <f>SUMIF(D:D,L8,E:E)</f>
        <v/>
      </c>
    </row>
    <row r="9">
      <c r="A9" s="34" t="n">
        <v>8</v>
      </c>
      <c r="B9" s="34" t="inlineStr">
        <is>
          <t>B</t>
        </is>
      </c>
      <c r="C9" s="34" t="inlineStr">
        <is>
          <t>Catar</t>
        </is>
      </c>
      <c r="D9" s="34" t="inlineStr">
        <is>
          <t>Suiza</t>
        </is>
      </c>
      <c r="E9" s="3" t="n">
        <v>0</v>
      </c>
      <c r="F9" s="3" t="n">
        <v>3</v>
      </c>
      <c r="G9" s="34">
        <f>IF(E9&gt;F9,"Local",IF(E9=F9,"Empate","Visitante"))</f>
        <v/>
      </c>
      <c r="H9" s="1">
        <f>E9-F9</f>
        <v/>
      </c>
      <c r="I9" s="1" t="n"/>
      <c r="J9" s="32" t="n"/>
      <c r="K9" s="8" t="n">
        <v>2</v>
      </c>
      <c r="L9" s="34" t="inlineStr">
        <is>
          <t>Bosnia y Herzegovina</t>
        </is>
      </c>
      <c r="M9" s="3">
        <f>(Q9*3)+R9</f>
        <v/>
      </c>
      <c r="N9" s="3">
        <f>O9-P9</f>
        <v/>
      </c>
      <c r="O9" s="3">
        <f>Z9+AA9</f>
        <v/>
      </c>
      <c r="P9" s="3">
        <f>AB9+AC9</f>
        <v/>
      </c>
      <c r="Q9" s="34">
        <f>T9+U9</f>
        <v/>
      </c>
      <c r="R9" s="34">
        <f>V9+W9</f>
        <v/>
      </c>
      <c r="S9" s="9">
        <f>X9+Y9</f>
        <v/>
      </c>
      <c r="T9" s="34">
        <f>COUNTIFS(C:C,L9,G:G,"Local")</f>
        <v/>
      </c>
      <c r="U9" s="34">
        <f>COUNTIFS(D:D,L9,G:G,"Visitante")</f>
        <v/>
      </c>
      <c r="V9" s="34">
        <f>COUNTIFS(C:C,L9,G:G,"Empate")</f>
        <v/>
      </c>
      <c r="W9" s="34">
        <f>COUNTIFS(D:D,L9,G:G,"Empate")</f>
        <v/>
      </c>
      <c r="X9" s="34">
        <f>COUNTIFS(C:C,L9,G:G,"Visitante")</f>
        <v/>
      </c>
      <c r="Y9" s="34">
        <f>COUNTIFS(D:D,L9,G:G,"Local")</f>
        <v/>
      </c>
      <c r="Z9" s="34">
        <f>SUMIF(C:C,L9,E:E)</f>
        <v/>
      </c>
      <c r="AA9" s="34">
        <f>SUMIF(D:D,L9,F:F)</f>
        <v/>
      </c>
      <c r="AB9" s="34">
        <f>SUMIF(C:C,L9,F:F)</f>
        <v/>
      </c>
      <c r="AC9" s="34">
        <f>SUMIF(D:D,L9,E:E)</f>
        <v/>
      </c>
    </row>
    <row r="10">
      <c r="A10" s="34" t="n">
        <v>9</v>
      </c>
      <c r="B10" s="34" t="inlineStr">
        <is>
          <t>B</t>
        </is>
      </c>
      <c r="C10" s="34" t="inlineStr">
        <is>
          <t>Suiza</t>
        </is>
      </c>
      <c r="D10" s="34" t="inlineStr">
        <is>
          <t>Bosnia y Herzegovina</t>
        </is>
      </c>
      <c r="E10" s="3" t="n">
        <v>1</v>
      </c>
      <c r="F10" s="3" t="n">
        <v>0</v>
      </c>
      <c r="G10" s="34">
        <f>IF(E10&gt;F10,"Local",IF(E10=F10,"Empate","Visitante"))</f>
        <v/>
      </c>
      <c r="H10" s="1">
        <f>E10-F10</f>
        <v/>
      </c>
      <c r="I10" s="1" t="n"/>
      <c r="J10" s="32" t="n"/>
      <c r="K10" s="8" t="n">
        <v>3</v>
      </c>
      <c r="L10" s="34" t="inlineStr">
        <is>
          <t>Canadá</t>
        </is>
      </c>
      <c r="M10" s="3">
        <f>(Q10*3)+R10</f>
        <v/>
      </c>
      <c r="N10" s="3">
        <f>O10-P10</f>
        <v/>
      </c>
      <c r="O10" s="3">
        <f>Z10+AA10</f>
        <v/>
      </c>
      <c r="P10" s="3">
        <f>AB10+AC10</f>
        <v/>
      </c>
      <c r="Q10" s="34">
        <f>T10+U10</f>
        <v/>
      </c>
      <c r="R10" s="34">
        <f>V10+W10</f>
        <v/>
      </c>
      <c r="S10" s="9">
        <f>X10+Y10</f>
        <v/>
      </c>
      <c r="T10" s="34">
        <f>COUNTIFS(C:C,L10,G:G,"Local")</f>
        <v/>
      </c>
      <c r="U10" s="34">
        <f>COUNTIFS(D:D,L10,G:G,"Visitante")</f>
        <v/>
      </c>
      <c r="V10" s="34">
        <f>COUNTIFS(C:C,L10,G:G,"Empate")</f>
        <v/>
      </c>
      <c r="W10" s="34">
        <f>COUNTIFS(D:D,L10,G:G,"Empate")</f>
        <v/>
      </c>
      <c r="X10" s="34">
        <f>COUNTIFS(C:C,L10,G:G,"Visitante")</f>
        <v/>
      </c>
      <c r="Y10" s="34">
        <f>COUNTIFS(D:D,L10,G:G,"Local")</f>
        <v/>
      </c>
      <c r="Z10" s="34">
        <f>SUMIF(C:C,L10,E:E)</f>
        <v/>
      </c>
      <c r="AA10" s="34">
        <f>SUMIF(D:D,L10,F:F)</f>
        <v/>
      </c>
      <c r="AB10" s="34">
        <f>SUMIF(C:C,L10,F:F)</f>
        <v/>
      </c>
      <c r="AC10" s="34">
        <f>SUMIF(D:D,L10,E:E)</f>
        <v/>
      </c>
    </row>
    <row r="11">
      <c r="A11" s="34" t="n">
        <v>10</v>
      </c>
      <c r="B11" s="34" t="inlineStr">
        <is>
          <t>B</t>
        </is>
      </c>
      <c r="C11" s="34" t="inlineStr">
        <is>
          <t>Canadá</t>
        </is>
      </c>
      <c r="D11" s="34" t="inlineStr">
        <is>
          <t>Catar</t>
        </is>
      </c>
      <c r="E11" s="3" t="n">
        <v>2</v>
      </c>
      <c r="F11" s="3" t="n">
        <v>1</v>
      </c>
      <c r="G11" s="34">
        <f>IF(E11&gt;F11,"Local",IF(E11=F11,"Empate","Visitante"))</f>
        <v/>
      </c>
      <c r="H11" s="1">
        <f>E11-F11</f>
        <v/>
      </c>
      <c r="J11" s="33" t="n"/>
      <c r="K11" s="10" t="n">
        <v>4</v>
      </c>
      <c r="L11" s="4" t="inlineStr">
        <is>
          <t>Catar</t>
        </is>
      </c>
      <c r="M11" s="11">
        <f>(Q11*3)+R11</f>
        <v/>
      </c>
      <c r="N11" s="11">
        <f>O11-P11</f>
        <v/>
      </c>
      <c r="O11" s="11">
        <f>Z11+AA11</f>
        <v/>
      </c>
      <c r="P11" s="11">
        <f>AB11+AC11</f>
        <v/>
      </c>
      <c r="Q11" s="4">
        <f>T11+U11</f>
        <v/>
      </c>
      <c r="R11" s="4">
        <f>V11+W11</f>
        <v/>
      </c>
      <c r="S11" s="12">
        <f>X11+Y11</f>
        <v/>
      </c>
      <c r="T11" s="34">
        <f>COUNTIFS(C:C,L11,G:G,"Local")</f>
        <v/>
      </c>
      <c r="U11" s="34">
        <f>COUNTIFS(D:D,L11,G:G,"Visitante")</f>
        <v/>
      </c>
      <c r="V11" s="34">
        <f>COUNTIFS(C:C,L11,G:G,"Empate")</f>
        <v/>
      </c>
      <c r="W11" s="34">
        <f>COUNTIFS(D:D,L11,G:G,"Empate")</f>
        <v/>
      </c>
      <c r="X11" s="34">
        <f>COUNTIFS(C:C,L11,G:G,"Visitante")</f>
        <v/>
      </c>
      <c r="Y11" s="34">
        <f>COUNTIFS(D:D,L11,G:G,"Local")</f>
        <v/>
      </c>
      <c r="Z11" s="34">
        <f>SUMIF(C:C,L11,E:E)</f>
        <v/>
      </c>
      <c r="AA11" s="34">
        <f>SUMIF(D:D,L11,F:F)</f>
        <v/>
      </c>
      <c r="AB11" s="34">
        <f>SUMIF(C:C,L11,F:F)</f>
        <v/>
      </c>
      <c r="AC11" s="34">
        <f>SUMIF(D:D,L11,E:E)</f>
        <v/>
      </c>
    </row>
    <row r="12">
      <c r="A12" s="34" t="n">
        <v>11</v>
      </c>
      <c r="B12" s="34" t="inlineStr">
        <is>
          <t>B</t>
        </is>
      </c>
      <c r="C12" s="34" t="inlineStr">
        <is>
          <t>Suiza</t>
        </is>
      </c>
      <c r="D12" s="34" t="inlineStr">
        <is>
          <t>Canadá</t>
        </is>
      </c>
      <c r="E12" s="3" t="n">
        <v>2</v>
      </c>
      <c r="F12" s="3" t="n">
        <v>1</v>
      </c>
      <c r="G12" s="34">
        <f>IF(E12&gt;F12,"Local",IF(E12=F12,"Empate","Visitante"))</f>
        <v/>
      </c>
      <c r="H12" s="1">
        <f>E12-F12</f>
        <v/>
      </c>
    </row>
    <row r="13">
      <c r="A13" s="34" t="n">
        <v>12</v>
      </c>
      <c r="B13" s="34" t="inlineStr">
        <is>
          <t>B</t>
        </is>
      </c>
      <c r="C13" s="34" t="inlineStr">
        <is>
          <t>Bosnia y Herzegovina</t>
        </is>
      </c>
      <c r="D13" s="34" t="inlineStr">
        <is>
          <t>Catar</t>
        </is>
      </c>
      <c r="E13" s="3" t="n">
        <v>3</v>
      </c>
      <c r="F13" s="3" t="n">
        <v>1</v>
      </c>
      <c r="G13" s="34">
        <f>IF(E13&gt;F13,"Local",IF(E13=F13,"Empate","Visitante"))</f>
        <v/>
      </c>
      <c r="H13" s="1">
        <f>E13-F13</f>
        <v/>
      </c>
      <c r="J13" s="6" t="inlineStr">
        <is>
          <t>Grupo</t>
        </is>
      </c>
      <c r="K13" s="7" t="inlineStr">
        <is>
          <t>Posición</t>
        </is>
      </c>
      <c r="L13" s="34" t="inlineStr">
        <is>
          <t>Equipo</t>
        </is>
      </c>
      <c r="M13" s="34" t="inlineStr">
        <is>
          <t>Puntos</t>
        </is>
      </c>
      <c r="N13" s="34" t="inlineStr">
        <is>
          <t>Diferencia</t>
        </is>
      </c>
      <c r="O13" s="34" t="inlineStr">
        <is>
          <t>GF</t>
        </is>
      </c>
      <c r="P13" s="5" t="inlineStr">
        <is>
          <t>GC</t>
        </is>
      </c>
      <c r="Q13" s="5" t="inlineStr">
        <is>
          <t>Victorias</t>
        </is>
      </c>
      <c r="R13" s="5" t="inlineStr">
        <is>
          <t>Empates</t>
        </is>
      </c>
      <c r="S13" s="7" t="inlineStr">
        <is>
          <t>Derrotas</t>
        </is>
      </c>
      <c r="T13" s="5" t="inlineStr">
        <is>
          <t>Victorias_L</t>
        </is>
      </c>
      <c r="U13" s="5" t="inlineStr">
        <is>
          <t>Victorias_V</t>
        </is>
      </c>
      <c r="V13" s="5" t="inlineStr">
        <is>
          <t>Empates_L</t>
        </is>
      </c>
      <c r="W13" s="5" t="inlineStr">
        <is>
          <t>Empates_V</t>
        </is>
      </c>
      <c r="X13" s="5" t="inlineStr">
        <is>
          <t>Derrotas_L</t>
        </is>
      </c>
      <c r="Y13" s="5" t="inlineStr">
        <is>
          <t>Derrotas_V</t>
        </is>
      </c>
      <c r="Z13" s="5" t="inlineStr">
        <is>
          <t>GF_L</t>
        </is>
      </c>
      <c r="AA13" s="5" t="inlineStr">
        <is>
          <t>GF_V</t>
        </is>
      </c>
      <c r="AB13" s="5" t="inlineStr">
        <is>
          <t>GC_L</t>
        </is>
      </c>
      <c r="AC13" s="5" t="inlineStr">
        <is>
          <t>GC_V</t>
        </is>
      </c>
    </row>
    <row r="14">
      <c r="A14" s="34" t="n">
        <v>13</v>
      </c>
      <c r="B14" s="34" t="inlineStr">
        <is>
          <t>C</t>
        </is>
      </c>
      <c r="C14" s="34" t="inlineStr">
        <is>
          <t>Brasil</t>
        </is>
      </c>
      <c r="D14" s="34" t="inlineStr">
        <is>
          <t>Marruecos</t>
        </is>
      </c>
      <c r="E14" s="3" t="n">
        <v>1</v>
      </c>
      <c r="F14" s="3" t="n">
        <v>1</v>
      </c>
      <c r="G14" s="34">
        <f>IF(E14&gt;F14,"Local",IF(E14=F14,"Empate","Visitante"))</f>
        <v/>
      </c>
      <c r="H14" s="1">
        <f>E14-F14</f>
        <v/>
      </c>
      <c r="J14" s="34" t="inlineStr">
        <is>
          <t>C</t>
        </is>
      </c>
      <c r="K14" s="8" t="n">
        <v>1</v>
      </c>
      <c r="L14" s="34" t="inlineStr">
        <is>
          <t>Brasil</t>
        </is>
      </c>
      <c r="M14" s="3">
        <f>(Q14*3)+R14</f>
        <v/>
      </c>
      <c r="N14" s="3">
        <f>O14-P14</f>
        <v/>
      </c>
      <c r="O14" s="3">
        <f>Z14+AA14</f>
        <v/>
      </c>
      <c r="P14" s="3">
        <f>AB14+AC14</f>
        <v/>
      </c>
      <c r="Q14" s="34">
        <f>T14+U14</f>
        <v/>
      </c>
      <c r="R14" s="34">
        <f>V14+W14</f>
        <v/>
      </c>
      <c r="S14" s="9">
        <f>X14+Y14</f>
        <v/>
      </c>
      <c r="T14" s="34">
        <f>COUNTIFS(C:C,L14,G:G,"Local")</f>
        <v/>
      </c>
      <c r="U14" s="34">
        <f>COUNTIFS(D:D,L14,G:G,"Visitante")</f>
        <v/>
      </c>
      <c r="V14" s="34">
        <f>COUNTIFS(C:C,L14,G:G,"Empate")</f>
        <v/>
      </c>
      <c r="W14" s="34">
        <f>COUNTIFS(D:D,L14,G:G,"Empate")</f>
        <v/>
      </c>
      <c r="X14" s="34">
        <f>COUNTIFS(C:C,L14,G:G,"Visitante")</f>
        <v/>
      </c>
      <c r="Y14" s="34">
        <f>COUNTIFS(D:D,L14,G:G,"Local")</f>
        <v/>
      </c>
      <c r="Z14" s="34">
        <f>SUMIF(C:C,L14,E:E)</f>
        <v/>
      </c>
      <c r="AA14" s="34">
        <f>SUMIF(D:D,L14,F:F)</f>
        <v/>
      </c>
      <c r="AB14" s="34">
        <f>SUMIF(C:C,L14,F:F)</f>
        <v/>
      </c>
      <c r="AC14" s="34">
        <f>SUMIF(D:D,L14,E:E)</f>
        <v/>
      </c>
    </row>
    <row r="15">
      <c r="A15" s="34" t="n">
        <v>14</v>
      </c>
      <c r="B15" s="34" t="inlineStr">
        <is>
          <t>C</t>
        </is>
      </c>
      <c r="C15" s="34" t="inlineStr">
        <is>
          <t>Haití</t>
        </is>
      </c>
      <c r="D15" s="34" t="inlineStr">
        <is>
          <t>Escocia</t>
        </is>
      </c>
      <c r="E15" s="3" t="n">
        <v>1</v>
      </c>
      <c r="F15" s="3" t="n">
        <v>2</v>
      </c>
      <c r="G15" s="34">
        <f>IF(E15&gt;F15,"Local",IF(E15=F15,"Empate","Visitante"))</f>
        <v/>
      </c>
      <c r="H15" s="1">
        <f>E15-F15</f>
        <v/>
      </c>
      <c r="J15" s="32" t="n"/>
      <c r="K15" s="8" t="n">
        <v>2</v>
      </c>
      <c r="L15" s="34" t="inlineStr">
        <is>
          <t>Marruecos</t>
        </is>
      </c>
      <c r="M15" s="3">
        <f>(Q15*3)+R15</f>
        <v/>
      </c>
      <c r="N15" s="3">
        <f>O15-P15</f>
        <v/>
      </c>
      <c r="O15" s="3">
        <f>Z15+AA15</f>
        <v/>
      </c>
      <c r="P15" s="3">
        <f>AB15+AC15</f>
        <v/>
      </c>
      <c r="Q15" s="34">
        <f>T15+U15</f>
        <v/>
      </c>
      <c r="R15" s="34">
        <f>V15+W15</f>
        <v/>
      </c>
      <c r="S15" s="9">
        <f>X15+Y15</f>
        <v/>
      </c>
      <c r="T15" s="34">
        <f>COUNTIFS(C:C,L15,G:G,"Local")</f>
        <v/>
      </c>
      <c r="U15" s="34">
        <f>COUNTIFS(D:D,L15,G:G,"Visitante")</f>
        <v/>
      </c>
      <c r="V15" s="34">
        <f>COUNTIFS(C:C,L15,G:G,"Empate")</f>
        <v/>
      </c>
      <c r="W15" s="34">
        <f>COUNTIFS(D:D,L15,G:G,"Empate")</f>
        <v/>
      </c>
      <c r="X15" s="34">
        <f>COUNTIFS(C:C,L15,G:G,"Visitante")</f>
        <v/>
      </c>
      <c r="Y15" s="34">
        <f>COUNTIFS(D:D,L15,G:G,"Local")</f>
        <v/>
      </c>
      <c r="Z15" s="34">
        <f>SUMIF(C:C,L15,E:E)</f>
        <v/>
      </c>
      <c r="AA15" s="34">
        <f>SUMIF(D:D,L15,F:F)</f>
        <v/>
      </c>
      <c r="AB15" s="34">
        <f>SUMIF(C:C,L15,F:F)</f>
        <v/>
      </c>
      <c r="AC15" s="34">
        <f>SUMIF(D:D,L15,E:E)</f>
        <v/>
      </c>
    </row>
    <row r="16">
      <c r="A16" s="34" t="n">
        <v>15</v>
      </c>
      <c r="B16" s="34" t="inlineStr">
        <is>
          <t>C</t>
        </is>
      </c>
      <c r="C16" s="34" t="inlineStr">
        <is>
          <t>Escocia</t>
        </is>
      </c>
      <c r="D16" s="34" t="inlineStr">
        <is>
          <t>Marruecos</t>
        </is>
      </c>
      <c r="E16" s="3" t="n">
        <v>0</v>
      </c>
      <c r="F16" s="3" t="n">
        <v>1</v>
      </c>
      <c r="G16" s="34">
        <f>IF(E16&gt;F16,"Local",IF(E16=F16,"Empate","Visitante"))</f>
        <v/>
      </c>
      <c r="H16" s="1">
        <f>E16-F16</f>
        <v/>
      </c>
      <c r="J16" s="32" t="n"/>
      <c r="K16" s="8" t="n">
        <v>3</v>
      </c>
      <c r="L16" s="34" t="inlineStr">
        <is>
          <t>Escocia</t>
        </is>
      </c>
      <c r="M16" s="3">
        <f>(Q16*3)+R16</f>
        <v/>
      </c>
      <c r="N16" s="3">
        <f>O16-P16</f>
        <v/>
      </c>
      <c r="O16" s="3">
        <f>Z16+AA16</f>
        <v/>
      </c>
      <c r="P16" s="3">
        <f>AB16+AC16</f>
        <v/>
      </c>
      <c r="Q16" s="34">
        <f>T16+U16</f>
        <v/>
      </c>
      <c r="R16" s="34">
        <f>V16+W16</f>
        <v/>
      </c>
      <c r="S16" s="9">
        <f>X16+Y16</f>
        <v/>
      </c>
      <c r="T16" s="34">
        <f>COUNTIFS(C:C,L16,G:G,"Local")</f>
        <v/>
      </c>
      <c r="U16" s="34">
        <f>COUNTIFS(D:D,L16,G:G,"Visitante")</f>
        <v/>
      </c>
      <c r="V16" s="34">
        <f>COUNTIFS(C:C,L16,G:G,"Empate")</f>
        <v/>
      </c>
      <c r="W16" s="34">
        <f>COUNTIFS(D:D,L16,G:G,"Empate")</f>
        <v/>
      </c>
      <c r="X16" s="34">
        <f>COUNTIFS(C:C,L16,G:G,"Visitante")</f>
        <v/>
      </c>
      <c r="Y16" s="34">
        <f>COUNTIFS(D:D,L16,G:G,"Local")</f>
        <v/>
      </c>
      <c r="Z16" s="34">
        <f>SUMIF(C:C,L16,E:E)</f>
        <v/>
      </c>
      <c r="AA16" s="34">
        <f>SUMIF(D:D,L16,F:F)</f>
        <v/>
      </c>
      <c r="AB16" s="34">
        <f>SUMIF(C:C,L16,F:F)</f>
        <v/>
      </c>
      <c r="AC16" s="34">
        <f>SUMIF(D:D,L16,E:E)</f>
        <v/>
      </c>
    </row>
    <row r="17">
      <c r="A17" s="34" t="n">
        <v>16</v>
      </c>
      <c r="B17" s="34" t="inlineStr">
        <is>
          <t>C</t>
        </is>
      </c>
      <c r="C17" s="34" t="inlineStr">
        <is>
          <t>Brasil</t>
        </is>
      </c>
      <c r="D17" s="34" t="inlineStr">
        <is>
          <t>Haití</t>
        </is>
      </c>
      <c r="E17" s="3" t="n">
        <v>4</v>
      </c>
      <c r="F17" s="3" t="n">
        <v>1</v>
      </c>
      <c r="G17" s="34">
        <f>IF(E17&gt;F17,"Local",IF(E17=F17,"Empate","Visitante"))</f>
        <v/>
      </c>
      <c r="H17" s="1">
        <f>E17-F17</f>
        <v/>
      </c>
      <c r="J17" s="33" t="n"/>
      <c r="K17" s="10" t="n">
        <v>4</v>
      </c>
      <c r="L17" s="4" t="inlineStr">
        <is>
          <t>Haití</t>
        </is>
      </c>
      <c r="M17" s="11">
        <f>(Q17*3)+R17</f>
        <v/>
      </c>
      <c r="N17" s="11">
        <f>O17-P17</f>
        <v/>
      </c>
      <c r="O17" s="11">
        <f>Z17+AA17</f>
        <v/>
      </c>
      <c r="P17" s="11">
        <f>AB17+AC17</f>
        <v/>
      </c>
      <c r="Q17" s="4">
        <f>T17+U17</f>
        <v/>
      </c>
      <c r="R17" s="4">
        <f>V17+W17</f>
        <v/>
      </c>
      <c r="S17" s="12">
        <f>X17+Y17</f>
        <v/>
      </c>
      <c r="T17" s="34">
        <f>COUNTIFS(C:C,L17,G:G,"Local")</f>
        <v/>
      </c>
      <c r="U17" s="34">
        <f>COUNTIFS(D:D,L17,G:G,"Visitante")</f>
        <v/>
      </c>
      <c r="V17" s="34">
        <f>COUNTIFS(C:C,L17,G:G,"Empate")</f>
        <v/>
      </c>
      <c r="W17" s="34">
        <f>COUNTIFS(D:D,L17,G:G,"Empate")</f>
        <v/>
      </c>
      <c r="X17" s="34">
        <f>COUNTIFS(C:C,L17,G:G,"Visitante")</f>
        <v/>
      </c>
      <c r="Y17" s="34">
        <f>COUNTIFS(D:D,L17,G:G,"Local")</f>
        <v/>
      </c>
      <c r="Z17" s="34">
        <f>SUMIF(C:C,L17,E:E)</f>
        <v/>
      </c>
      <c r="AA17" s="34">
        <f>SUMIF(D:D,L17,F:F)</f>
        <v/>
      </c>
      <c r="AB17" s="34">
        <f>SUMIF(C:C,L17,F:F)</f>
        <v/>
      </c>
      <c r="AC17" s="34">
        <f>SUMIF(D:D,L17,E:E)</f>
        <v/>
      </c>
    </row>
    <row r="18">
      <c r="A18" s="34" t="n">
        <v>17</v>
      </c>
      <c r="B18" s="34" t="inlineStr">
        <is>
          <t>C</t>
        </is>
      </c>
      <c r="C18" s="34" t="inlineStr">
        <is>
          <t>Escocia</t>
        </is>
      </c>
      <c r="D18" s="34" t="inlineStr">
        <is>
          <t>Brasil</t>
        </is>
      </c>
      <c r="E18" s="3" t="n">
        <v>1</v>
      </c>
      <c r="F18" s="3" t="n">
        <v>2</v>
      </c>
      <c r="G18" s="34">
        <f>IF(E18&gt;F18,"Local",IF(E18=F18,"Empate","Visitante"))</f>
        <v/>
      </c>
      <c r="H18" s="1">
        <f>E18-F18</f>
        <v/>
      </c>
    </row>
    <row r="19">
      <c r="A19" s="34" t="n">
        <v>18</v>
      </c>
      <c r="B19" s="34" t="inlineStr">
        <is>
          <t>C</t>
        </is>
      </c>
      <c r="C19" s="34" t="inlineStr">
        <is>
          <t>Marruecos</t>
        </is>
      </c>
      <c r="D19" s="34" t="inlineStr">
        <is>
          <t>Haití</t>
        </is>
      </c>
      <c r="E19" s="3" t="n">
        <v>2</v>
      </c>
      <c r="F19" s="3" t="n">
        <v>0</v>
      </c>
      <c r="G19" s="34">
        <f>IF(E19&gt;F19,"Local",IF(E19=F19,"Empate","Visitante"))</f>
        <v/>
      </c>
      <c r="H19" s="1">
        <f>E19-F19</f>
        <v/>
      </c>
      <c r="J19" s="6" t="inlineStr">
        <is>
          <t>Grupo</t>
        </is>
      </c>
      <c r="K19" s="7" t="inlineStr">
        <is>
          <t>Posición</t>
        </is>
      </c>
      <c r="L19" s="34" t="inlineStr">
        <is>
          <t>Equipo</t>
        </is>
      </c>
      <c r="M19" s="34" t="inlineStr">
        <is>
          <t>Puntos</t>
        </is>
      </c>
      <c r="N19" s="34" t="inlineStr">
        <is>
          <t>Diferencia</t>
        </is>
      </c>
      <c r="O19" s="34" t="inlineStr">
        <is>
          <t>GF</t>
        </is>
      </c>
      <c r="P19" s="5" t="inlineStr">
        <is>
          <t>GC</t>
        </is>
      </c>
      <c r="Q19" s="5" t="inlineStr">
        <is>
          <t>Victorias</t>
        </is>
      </c>
      <c r="R19" s="5" t="inlineStr">
        <is>
          <t>Empates</t>
        </is>
      </c>
      <c r="S19" s="7" t="inlineStr">
        <is>
          <t>Derrotas</t>
        </is>
      </c>
      <c r="T19" s="5" t="inlineStr">
        <is>
          <t>Victorias_L</t>
        </is>
      </c>
      <c r="U19" s="5" t="inlineStr">
        <is>
          <t>Victorias_V</t>
        </is>
      </c>
      <c r="V19" s="5" t="inlineStr">
        <is>
          <t>Empates_L</t>
        </is>
      </c>
      <c r="W19" s="5" t="inlineStr">
        <is>
          <t>Empates_V</t>
        </is>
      </c>
      <c r="X19" s="5" t="inlineStr">
        <is>
          <t>Derrotas_L</t>
        </is>
      </c>
      <c r="Y19" s="5" t="inlineStr">
        <is>
          <t>Derrotas_V</t>
        </is>
      </c>
      <c r="Z19" s="5" t="inlineStr">
        <is>
          <t>GF_L</t>
        </is>
      </c>
      <c r="AA19" s="5" t="inlineStr">
        <is>
          <t>GF_V</t>
        </is>
      </c>
      <c r="AB19" s="5" t="inlineStr">
        <is>
          <t>GC_L</t>
        </is>
      </c>
      <c r="AC19" s="5" t="inlineStr">
        <is>
          <t>GC_V</t>
        </is>
      </c>
    </row>
    <row r="20">
      <c r="A20" s="34" t="n">
        <v>19</v>
      </c>
      <c r="B20" s="34" t="inlineStr">
        <is>
          <t>D</t>
        </is>
      </c>
      <c r="C20" s="34" t="inlineStr">
        <is>
          <t>Estados Unidos</t>
        </is>
      </c>
      <c r="D20" s="34" t="inlineStr">
        <is>
          <t>Paraguay</t>
        </is>
      </c>
      <c r="E20" s="3" t="n">
        <v>1</v>
      </c>
      <c r="F20" s="3" t="n">
        <v>1</v>
      </c>
      <c r="G20" s="34">
        <f>IF(E20&gt;F20,"Local",IF(E20=F20,"Empate","Visitante"))</f>
        <v/>
      </c>
      <c r="H20" s="1">
        <f>E20-F20</f>
        <v/>
      </c>
      <c r="J20" s="34" t="inlineStr">
        <is>
          <t>D</t>
        </is>
      </c>
      <c r="K20" s="8" t="n">
        <v>1</v>
      </c>
      <c r="L20" s="34" t="inlineStr">
        <is>
          <t>Turquía</t>
        </is>
      </c>
      <c r="M20" s="3">
        <f>(Q20*3)+R20</f>
        <v/>
      </c>
      <c r="N20" s="3">
        <f>O20-P20</f>
        <v/>
      </c>
      <c r="O20" s="3">
        <f>Z20+AA20</f>
        <v/>
      </c>
      <c r="P20" s="3">
        <f>AB20+AC20</f>
        <v/>
      </c>
      <c r="Q20" s="34">
        <f>T20+U20</f>
        <v/>
      </c>
      <c r="R20" s="34">
        <f>V20+W20</f>
        <v/>
      </c>
      <c r="S20" s="9">
        <f>X20+Y20</f>
        <v/>
      </c>
      <c r="T20" s="34">
        <f>COUNTIFS(C:C,L20,G:G,"Local")</f>
        <v/>
      </c>
      <c r="U20" s="34">
        <f>COUNTIFS(D:D,L20,G:G,"Visitante")</f>
        <v/>
      </c>
      <c r="V20" s="34">
        <f>COUNTIFS(C:C,L20,G:G,"Empate")</f>
        <v/>
      </c>
      <c r="W20" s="34">
        <f>COUNTIFS(D:D,L20,G:G,"Empate")</f>
        <v/>
      </c>
      <c r="X20" s="34">
        <f>COUNTIFS(C:C,L20,G:G,"Visitante")</f>
        <v/>
      </c>
      <c r="Y20" s="34">
        <f>COUNTIFS(D:D,L20,G:G,"Local")</f>
        <v/>
      </c>
      <c r="Z20" s="34">
        <f>SUMIF(C:C,L20,E:E)</f>
        <v/>
      </c>
      <c r="AA20" s="34">
        <f>SUMIF(D:D,L20,F:F)</f>
        <v/>
      </c>
      <c r="AB20" s="34">
        <f>SUMIF(C:C,L20,F:F)</f>
        <v/>
      </c>
      <c r="AC20" s="34">
        <f>SUMIF(D:D,L20,E:E)</f>
        <v/>
      </c>
    </row>
    <row r="21">
      <c r="A21" s="34" t="n">
        <v>20</v>
      </c>
      <c r="B21" s="34" t="inlineStr">
        <is>
          <t>D</t>
        </is>
      </c>
      <c r="C21" s="34" t="inlineStr">
        <is>
          <t>Australia</t>
        </is>
      </c>
      <c r="D21" s="34" t="inlineStr">
        <is>
          <t>Turquía</t>
        </is>
      </c>
      <c r="E21" s="3" t="n">
        <v>0</v>
      </c>
      <c r="F21" s="3" t="n">
        <v>2</v>
      </c>
      <c r="G21" s="34">
        <f>IF(E21&gt;F21,"Local",IF(E21=F21,"Empate","Visitante"))</f>
        <v/>
      </c>
      <c r="H21" s="1">
        <f>E21-F21</f>
        <v/>
      </c>
      <c r="J21" s="32" t="n"/>
      <c r="K21" s="8" t="n">
        <v>2</v>
      </c>
      <c r="L21" s="34" t="inlineStr">
        <is>
          <t>Paraguay</t>
        </is>
      </c>
      <c r="M21" s="3">
        <f>(Q21*3)+R21</f>
        <v/>
      </c>
      <c r="N21" s="3">
        <f>O21-P21</f>
        <v/>
      </c>
      <c r="O21" s="3">
        <f>Z21+AA21</f>
        <v/>
      </c>
      <c r="P21" s="3">
        <f>AB21+AC21</f>
        <v/>
      </c>
      <c r="Q21" s="34">
        <f>T21+U21</f>
        <v/>
      </c>
      <c r="R21" s="34">
        <f>V21+W21</f>
        <v/>
      </c>
      <c r="S21" s="9">
        <f>X21+Y21</f>
        <v/>
      </c>
      <c r="T21" s="34">
        <f>COUNTIFS(C:C,L21,G:G,"Local")</f>
        <v/>
      </c>
      <c r="U21" s="34">
        <f>COUNTIFS(D:D,L21,G:G,"Visitante")</f>
        <v/>
      </c>
      <c r="V21" s="34">
        <f>COUNTIFS(C:C,L21,G:G,"Empate")</f>
        <v/>
      </c>
      <c r="W21" s="34">
        <f>COUNTIFS(D:D,L21,G:G,"Empate")</f>
        <v/>
      </c>
      <c r="X21" s="34">
        <f>COUNTIFS(C:C,L21,G:G,"Visitante")</f>
        <v/>
      </c>
      <c r="Y21" s="34">
        <f>COUNTIFS(D:D,L21,G:G,"Local")</f>
        <v/>
      </c>
      <c r="Z21" s="34">
        <f>SUMIF(C:C,L21,E:E)</f>
        <v/>
      </c>
      <c r="AA21" s="34">
        <f>SUMIF(D:D,L21,F:F)</f>
        <v/>
      </c>
      <c r="AB21" s="34">
        <f>SUMIF(C:C,L21,F:F)</f>
        <v/>
      </c>
      <c r="AC21" s="34">
        <f>SUMIF(D:D,L21,E:E)</f>
        <v/>
      </c>
    </row>
    <row r="22">
      <c r="A22" s="34" t="n">
        <v>21</v>
      </c>
      <c r="B22" s="34" t="inlineStr">
        <is>
          <t>D</t>
        </is>
      </c>
      <c r="C22" s="34" t="inlineStr">
        <is>
          <t>Estados Unidos</t>
        </is>
      </c>
      <c r="D22" s="34" t="inlineStr">
        <is>
          <t>Australia</t>
        </is>
      </c>
      <c r="E22" s="3" t="n">
        <v>2</v>
      </c>
      <c r="F22" s="3" t="n">
        <v>1</v>
      </c>
      <c r="G22" s="34">
        <f>IF(E22&gt;F22,"Local",IF(E22=F22,"Empate","Visitante"))</f>
        <v/>
      </c>
      <c r="H22" s="1">
        <f>E22-F22</f>
        <v/>
      </c>
      <c r="J22" s="32" t="n"/>
      <c r="K22" s="8" t="n">
        <v>3</v>
      </c>
      <c r="L22" s="34" t="inlineStr">
        <is>
          <t>Estados Unidos</t>
        </is>
      </c>
      <c r="M22" s="3">
        <f>(Q22*3)+R22</f>
        <v/>
      </c>
      <c r="N22" s="3">
        <f>O22-P22</f>
        <v/>
      </c>
      <c r="O22" s="3">
        <f>Z22+AA22</f>
        <v/>
      </c>
      <c r="P22" s="3">
        <f>AB22+AC22</f>
        <v/>
      </c>
      <c r="Q22" s="34">
        <f>T22+U22</f>
        <v/>
      </c>
      <c r="R22" s="34">
        <f>V22+W22</f>
        <v/>
      </c>
      <c r="S22" s="9">
        <f>X22+Y22</f>
        <v/>
      </c>
      <c r="T22" s="34">
        <f>COUNTIFS(C:C,L22,G:G,"Local")</f>
        <v/>
      </c>
      <c r="U22" s="34">
        <f>COUNTIFS(D:D,L22,G:G,"Visitante")</f>
        <v/>
      </c>
      <c r="V22" s="34">
        <f>COUNTIFS(C:C,L22,G:G,"Empate")</f>
        <v/>
      </c>
      <c r="W22" s="34">
        <f>COUNTIFS(D:D,L22,G:G,"Empate")</f>
        <v/>
      </c>
      <c r="X22" s="34">
        <f>COUNTIFS(C:C,L22,G:G,"Visitante")</f>
        <v/>
      </c>
      <c r="Y22" s="34">
        <f>COUNTIFS(D:D,L22,G:G,"Local")</f>
        <v/>
      </c>
      <c r="Z22" s="34">
        <f>SUMIF(C:C,L22,E:E)</f>
        <v/>
      </c>
      <c r="AA22" s="34">
        <f>SUMIF(D:D,L22,F:F)</f>
        <v/>
      </c>
      <c r="AB22" s="34">
        <f>SUMIF(C:C,L22,F:F)</f>
        <v/>
      </c>
      <c r="AC22" s="34">
        <f>SUMIF(D:D,L22,E:E)</f>
        <v/>
      </c>
    </row>
    <row r="23">
      <c r="A23" s="34" t="n">
        <v>22</v>
      </c>
      <c r="B23" s="34" t="inlineStr">
        <is>
          <t>D</t>
        </is>
      </c>
      <c r="C23" s="34" t="inlineStr">
        <is>
          <t>Turquía</t>
        </is>
      </c>
      <c r="D23" s="34" t="inlineStr">
        <is>
          <t>Paraguay</t>
        </is>
      </c>
      <c r="E23" s="3" t="n">
        <v>0</v>
      </c>
      <c r="F23" s="3" t="n">
        <v>0</v>
      </c>
      <c r="G23" s="34">
        <f>IF(E23&gt;F23,"Local",IF(E23=F23,"Empate","Visitante"))</f>
        <v/>
      </c>
      <c r="H23" s="1">
        <f>E23-F23</f>
        <v/>
      </c>
      <c r="J23" s="33" t="n"/>
      <c r="K23" s="10" t="n">
        <v>4</v>
      </c>
      <c r="L23" s="4" t="inlineStr">
        <is>
          <t>Australia</t>
        </is>
      </c>
      <c r="M23" s="11">
        <f>(Q23*3)+R23</f>
        <v/>
      </c>
      <c r="N23" s="11">
        <f>O23-P23</f>
        <v/>
      </c>
      <c r="O23" s="11">
        <f>Z23+AA23</f>
        <v/>
      </c>
      <c r="P23" s="11">
        <f>AB23+AC23</f>
        <v/>
      </c>
      <c r="Q23" s="4">
        <f>T23+U23</f>
        <v/>
      </c>
      <c r="R23" s="4">
        <f>V23+W23</f>
        <v/>
      </c>
      <c r="S23" s="12">
        <f>X23+Y23</f>
        <v/>
      </c>
      <c r="T23" s="34">
        <f>COUNTIFS(C:C,L23,G:G,"Local")</f>
        <v/>
      </c>
      <c r="U23" s="34">
        <f>COUNTIFS(D:D,L23,G:G,"Visitante")</f>
        <v/>
      </c>
      <c r="V23" s="34">
        <f>COUNTIFS(C:C,L23,G:G,"Empate")</f>
        <v/>
      </c>
      <c r="W23" s="34">
        <f>COUNTIFS(D:D,L23,G:G,"Empate")</f>
        <v/>
      </c>
      <c r="X23" s="34">
        <f>COUNTIFS(C:C,L23,G:G,"Visitante")</f>
        <v/>
      </c>
      <c r="Y23" s="34">
        <f>COUNTIFS(D:D,L23,G:G,"Local")</f>
        <v/>
      </c>
      <c r="Z23" s="34">
        <f>SUMIF(C:C,L23,E:E)</f>
        <v/>
      </c>
      <c r="AA23" s="34">
        <f>SUMIF(D:D,L23,F:F)</f>
        <v/>
      </c>
      <c r="AB23" s="34">
        <f>SUMIF(C:C,L23,F:F)</f>
        <v/>
      </c>
      <c r="AC23" s="34">
        <f>SUMIF(D:D,L23,E:E)</f>
        <v/>
      </c>
    </row>
    <row r="24">
      <c r="A24" s="34" t="n">
        <v>23</v>
      </c>
      <c r="B24" s="34" t="inlineStr">
        <is>
          <t>D</t>
        </is>
      </c>
      <c r="C24" s="34" t="inlineStr">
        <is>
          <t>Turquía</t>
        </is>
      </c>
      <c r="D24" s="34" t="inlineStr">
        <is>
          <t>Estados Unidos</t>
        </is>
      </c>
      <c r="E24" s="3" t="n">
        <v>1</v>
      </c>
      <c r="F24" s="3" t="n">
        <v>0</v>
      </c>
      <c r="G24" s="34">
        <f>IF(E24&gt;F24,"Local",IF(E24=F24,"Empate","Visitante"))</f>
        <v/>
      </c>
      <c r="H24" s="1">
        <f>E24-F24</f>
        <v/>
      </c>
    </row>
    <row r="25">
      <c r="A25" s="34" t="n">
        <v>24</v>
      </c>
      <c r="B25" s="34" t="inlineStr">
        <is>
          <t>D</t>
        </is>
      </c>
      <c r="C25" s="34" t="inlineStr">
        <is>
          <t>Paraguay</t>
        </is>
      </c>
      <c r="D25" s="34" t="inlineStr">
        <is>
          <t>Australia</t>
        </is>
      </c>
      <c r="E25" s="3" t="n">
        <v>2</v>
      </c>
      <c r="F25" s="3" t="n">
        <v>0</v>
      </c>
      <c r="G25" s="34">
        <f>IF(E25&gt;F25,"Local",IF(E25=F25,"Empate","Visitante"))</f>
        <v/>
      </c>
      <c r="H25" s="1">
        <f>E25-F25</f>
        <v/>
      </c>
      <c r="J25" s="6" t="inlineStr">
        <is>
          <t>Grupo</t>
        </is>
      </c>
      <c r="K25" s="7" t="inlineStr">
        <is>
          <t>Posición</t>
        </is>
      </c>
      <c r="L25" s="34" t="inlineStr">
        <is>
          <t>Equipo</t>
        </is>
      </c>
      <c r="M25" s="34" t="inlineStr">
        <is>
          <t>Puntos</t>
        </is>
      </c>
      <c r="N25" s="34" t="inlineStr">
        <is>
          <t>Diferencia</t>
        </is>
      </c>
      <c r="O25" s="34" t="inlineStr">
        <is>
          <t>GF</t>
        </is>
      </c>
      <c r="P25" s="5" t="inlineStr">
        <is>
          <t>GC</t>
        </is>
      </c>
      <c r="Q25" s="5" t="inlineStr">
        <is>
          <t>Victorias</t>
        </is>
      </c>
      <c r="R25" s="5" t="inlineStr">
        <is>
          <t>Empates</t>
        </is>
      </c>
      <c r="S25" s="7" t="inlineStr">
        <is>
          <t>Derrotas</t>
        </is>
      </c>
      <c r="T25" s="5" t="inlineStr">
        <is>
          <t>Victorias_L</t>
        </is>
      </c>
      <c r="U25" s="5" t="inlineStr">
        <is>
          <t>Victorias_V</t>
        </is>
      </c>
      <c r="V25" s="5" t="inlineStr">
        <is>
          <t>Empates_L</t>
        </is>
      </c>
      <c r="W25" s="5" t="inlineStr">
        <is>
          <t>Empates_V</t>
        </is>
      </c>
      <c r="X25" s="5" t="inlineStr">
        <is>
          <t>Derrotas_L</t>
        </is>
      </c>
      <c r="Y25" s="5" t="inlineStr">
        <is>
          <t>Derrotas_V</t>
        </is>
      </c>
      <c r="Z25" s="5" t="inlineStr">
        <is>
          <t>GF_L</t>
        </is>
      </c>
      <c r="AA25" s="5" t="inlineStr">
        <is>
          <t>GF_V</t>
        </is>
      </c>
      <c r="AB25" s="5" t="inlineStr">
        <is>
          <t>GC_L</t>
        </is>
      </c>
      <c r="AC25" s="5" t="inlineStr">
        <is>
          <t>GC_V</t>
        </is>
      </c>
    </row>
    <row r="26">
      <c r="A26" s="34" t="n">
        <v>25</v>
      </c>
      <c r="B26" s="34" t="inlineStr">
        <is>
          <t>E</t>
        </is>
      </c>
      <c r="C26" s="34" t="inlineStr">
        <is>
          <t>Alemania</t>
        </is>
      </c>
      <c r="D26" s="34" t="inlineStr">
        <is>
          <t>Curazao</t>
        </is>
      </c>
      <c r="E26" s="3" t="n">
        <v>4</v>
      </c>
      <c r="F26" s="3" t="n">
        <v>0</v>
      </c>
      <c r="G26" s="34">
        <f>IF(E26&gt;F26,"Local",IF(E26=F26,"Empate","Visitante"))</f>
        <v/>
      </c>
      <c r="H26" s="1">
        <f>E26-F26</f>
        <v/>
      </c>
      <c r="J26" s="34" t="inlineStr">
        <is>
          <t>E</t>
        </is>
      </c>
      <c r="K26" s="8" t="n">
        <v>1</v>
      </c>
      <c r="L26" s="34" t="inlineStr">
        <is>
          <t>Alemania</t>
        </is>
      </c>
      <c r="M26" s="3">
        <f>(Q26*3)+R26</f>
        <v/>
      </c>
      <c r="N26" s="3">
        <f>O26-P26</f>
        <v/>
      </c>
      <c r="O26" s="3">
        <f>Z26+AA26</f>
        <v/>
      </c>
      <c r="P26" s="3">
        <f>AB26+AC26</f>
        <v/>
      </c>
      <c r="Q26" s="34">
        <f>T26+U26</f>
        <v/>
      </c>
      <c r="R26" s="34">
        <f>V26+W26</f>
        <v/>
      </c>
      <c r="S26" s="9">
        <f>X26+Y26</f>
        <v/>
      </c>
      <c r="T26" s="34">
        <f>COUNTIFS(C:C,L26,G:G,"Local")</f>
        <v/>
      </c>
      <c r="U26" s="34">
        <f>COUNTIFS(D:D,L26,G:G,"Visitante")</f>
        <v/>
      </c>
      <c r="V26" s="34">
        <f>COUNTIFS(C:C,L26,G:G,"Empate")</f>
        <v/>
      </c>
      <c r="W26" s="34">
        <f>COUNTIFS(D:D,L26,G:G,"Empate")</f>
        <v/>
      </c>
      <c r="X26" s="34">
        <f>COUNTIFS(C:C,L26,G:G,"Visitante")</f>
        <v/>
      </c>
      <c r="Y26" s="34">
        <f>COUNTIFS(D:D,L26,G:G,"Local")</f>
        <v/>
      </c>
      <c r="Z26" s="34">
        <f>SUMIF(C:C,L26,E:E)</f>
        <v/>
      </c>
      <c r="AA26" s="34">
        <f>SUMIF(D:D,L26,F:F)</f>
        <v/>
      </c>
      <c r="AB26" s="34">
        <f>SUMIF(C:C,L26,F:F)</f>
        <v/>
      </c>
      <c r="AC26" s="34">
        <f>SUMIF(D:D,L26,E:E)</f>
        <v/>
      </c>
    </row>
    <row r="27">
      <c r="A27" s="34" t="n">
        <v>26</v>
      </c>
      <c r="B27" s="34" t="inlineStr">
        <is>
          <t>E</t>
        </is>
      </c>
      <c r="C27" s="34" t="inlineStr">
        <is>
          <t>Costa de Marfil</t>
        </is>
      </c>
      <c r="D27" s="34" t="inlineStr">
        <is>
          <t>Ecuador</t>
        </is>
      </c>
      <c r="E27" s="3" t="n">
        <v>1</v>
      </c>
      <c r="F27" s="3" t="n">
        <v>2</v>
      </c>
      <c r="G27" s="34">
        <f>IF(E27&gt;F27,"Local",IF(E27=F27,"Empate","Visitante"))</f>
        <v/>
      </c>
      <c r="H27" s="1">
        <f>E27-F27</f>
        <v/>
      </c>
      <c r="J27" s="32" t="n"/>
      <c r="K27" s="8" t="n">
        <v>2</v>
      </c>
      <c r="L27" s="34" t="inlineStr">
        <is>
          <t>Ecuador</t>
        </is>
      </c>
      <c r="M27" s="3">
        <f>(Q27*3)+R27</f>
        <v/>
      </c>
      <c r="N27" s="3">
        <f>O27-P27</f>
        <v/>
      </c>
      <c r="O27" s="3">
        <f>Z27+AA27</f>
        <v/>
      </c>
      <c r="P27" s="3">
        <f>AB27+AC27</f>
        <v/>
      </c>
      <c r="Q27" s="34">
        <f>T27+U27</f>
        <v/>
      </c>
      <c r="R27" s="34">
        <f>V27+W27</f>
        <v/>
      </c>
      <c r="S27" s="9">
        <f>X27+Y27</f>
        <v/>
      </c>
      <c r="T27" s="34">
        <f>COUNTIFS(C:C,L27,G:G,"Local")</f>
        <v/>
      </c>
      <c r="U27" s="34">
        <f>COUNTIFS(D:D,L27,G:G,"Visitante")</f>
        <v/>
      </c>
      <c r="V27" s="34">
        <f>COUNTIFS(C:C,L27,G:G,"Empate")</f>
        <v/>
      </c>
      <c r="W27" s="34">
        <f>COUNTIFS(D:D,L27,G:G,"Empate")</f>
        <v/>
      </c>
      <c r="X27" s="34">
        <f>COUNTIFS(C:C,L27,G:G,"Visitante")</f>
        <v/>
      </c>
      <c r="Y27" s="34">
        <f>COUNTIFS(D:D,L27,G:G,"Local")</f>
        <v/>
      </c>
      <c r="Z27" s="34">
        <f>SUMIF(C:C,L27,E:E)</f>
        <v/>
      </c>
      <c r="AA27" s="34">
        <f>SUMIF(D:D,L27,F:F)</f>
        <v/>
      </c>
      <c r="AB27" s="34">
        <f>SUMIF(C:C,L27,F:F)</f>
        <v/>
      </c>
      <c r="AC27" s="34">
        <f>SUMIF(D:D,L27,E:E)</f>
        <v/>
      </c>
    </row>
    <row r="28">
      <c r="A28" s="34" t="n">
        <v>27</v>
      </c>
      <c r="B28" s="34" t="inlineStr">
        <is>
          <t>E</t>
        </is>
      </c>
      <c r="C28" s="34" t="inlineStr">
        <is>
          <t>Alemania</t>
        </is>
      </c>
      <c r="D28" s="34" t="inlineStr">
        <is>
          <t>Costa de Marfil</t>
        </is>
      </c>
      <c r="E28" s="3" t="n">
        <v>2</v>
      </c>
      <c r="F28" s="3" t="n">
        <v>0</v>
      </c>
      <c r="G28" s="34">
        <f>IF(E28&gt;F28,"Local",IF(E28=F28,"Empate","Visitante"))</f>
        <v/>
      </c>
      <c r="H28" s="1">
        <f>E28-F28</f>
        <v/>
      </c>
      <c r="J28" s="32" t="n"/>
      <c r="K28" s="8" t="n">
        <v>3</v>
      </c>
      <c r="L28" s="34" t="inlineStr">
        <is>
          <t>Costa de Marfil</t>
        </is>
      </c>
      <c r="M28" s="3">
        <f>(Q28*3)+R28</f>
        <v/>
      </c>
      <c r="N28" s="3">
        <f>O28-P28</f>
        <v/>
      </c>
      <c r="O28" s="3">
        <f>Z28+AA28</f>
        <v/>
      </c>
      <c r="P28" s="3">
        <f>AB28+AC28</f>
        <v/>
      </c>
      <c r="Q28" s="34">
        <f>T28+U28</f>
        <v/>
      </c>
      <c r="R28" s="34">
        <f>V28+W28</f>
        <v/>
      </c>
      <c r="S28" s="9">
        <f>X28+Y28</f>
        <v/>
      </c>
      <c r="T28" s="34">
        <f>COUNTIFS(C:C,L28,G:G,"Local")</f>
        <v/>
      </c>
      <c r="U28" s="34">
        <f>COUNTIFS(D:D,L28,G:G,"Visitante")</f>
        <v/>
      </c>
      <c r="V28" s="34">
        <f>COUNTIFS(C:C,L28,G:G,"Empate")</f>
        <v/>
      </c>
      <c r="W28" s="34">
        <f>COUNTIFS(D:D,L28,G:G,"Empate")</f>
        <v/>
      </c>
      <c r="X28" s="34">
        <f>COUNTIFS(C:C,L28,G:G,"Visitante")</f>
        <v/>
      </c>
      <c r="Y28" s="34">
        <f>COUNTIFS(D:D,L28,G:G,"Local")</f>
        <v/>
      </c>
      <c r="Z28" s="34">
        <f>SUMIF(C:C,L28,E:E)</f>
        <v/>
      </c>
      <c r="AA28" s="34">
        <f>SUMIF(D:D,L28,F:F)</f>
        <v/>
      </c>
      <c r="AB28" s="34">
        <f>SUMIF(C:C,L28,F:F)</f>
        <v/>
      </c>
      <c r="AC28" s="34">
        <f>SUMIF(D:D,L28,E:E)</f>
        <v/>
      </c>
    </row>
    <row r="29">
      <c r="A29" s="34" t="n">
        <v>28</v>
      </c>
      <c r="B29" s="34" t="inlineStr">
        <is>
          <t>E</t>
        </is>
      </c>
      <c r="C29" s="34" t="inlineStr">
        <is>
          <t>Ecuador</t>
        </is>
      </c>
      <c r="D29" s="34" t="inlineStr">
        <is>
          <t>Curazao</t>
        </is>
      </c>
      <c r="E29" s="3" t="n">
        <v>1</v>
      </c>
      <c r="F29" s="3" t="n">
        <v>0</v>
      </c>
      <c r="G29" s="34">
        <f>IF(E29&gt;F29,"Local",IF(E29=F29,"Empate","Visitante"))</f>
        <v/>
      </c>
      <c r="H29" s="1">
        <f>E29-F29</f>
        <v/>
      </c>
      <c r="J29" s="33" t="n"/>
      <c r="K29" s="10" t="n">
        <v>4</v>
      </c>
      <c r="L29" s="4" t="inlineStr">
        <is>
          <t>Curazao</t>
        </is>
      </c>
      <c r="M29" s="11">
        <f>(Q29*3)+R29</f>
        <v/>
      </c>
      <c r="N29" s="11">
        <f>O29-P29</f>
        <v/>
      </c>
      <c r="O29" s="11">
        <f>Z29+AA29</f>
        <v/>
      </c>
      <c r="P29" s="11">
        <f>AB29+AC29</f>
        <v/>
      </c>
      <c r="Q29" s="4">
        <f>T29+U29</f>
        <v/>
      </c>
      <c r="R29" s="4">
        <f>V29+W29</f>
        <v/>
      </c>
      <c r="S29" s="12">
        <f>X29+Y29</f>
        <v/>
      </c>
      <c r="T29" s="34">
        <f>COUNTIFS(C:C,L29,G:G,"Local")</f>
        <v/>
      </c>
      <c r="U29" s="34">
        <f>COUNTIFS(D:D,L29,G:G,"Visitante")</f>
        <v/>
      </c>
      <c r="V29" s="34">
        <f>COUNTIFS(C:C,L29,G:G,"Empate")</f>
        <v/>
      </c>
      <c r="W29" s="34">
        <f>COUNTIFS(D:D,L29,G:G,"Empate")</f>
        <v/>
      </c>
      <c r="X29" s="34">
        <f>COUNTIFS(C:C,L29,G:G,"Visitante")</f>
        <v/>
      </c>
      <c r="Y29" s="34">
        <f>COUNTIFS(D:D,L29,G:G,"Local")</f>
        <v/>
      </c>
      <c r="Z29" s="34">
        <f>SUMIF(C:C,L29,E:E)</f>
        <v/>
      </c>
      <c r="AA29" s="34">
        <f>SUMIF(D:D,L29,F:F)</f>
        <v/>
      </c>
      <c r="AB29" s="34">
        <f>SUMIF(C:C,L29,F:F)</f>
        <v/>
      </c>
      <c r="AC29" s="34">
        <f>SUMIF(D:D,L29,E:E)</f>
        <v/>
      </c>
    </row>
    <row r="30">
      <c r="A30" s="34" t="n">
        <v>29</v>
      </c>
      <c r="B30" s="34" t="inlineStr">
        <is>
          <t>E</t>
        </is>
      </c>
      <c r="C30" s="34" t="inlineStr">
        <is>
          <t>Curazao</t>
        </is>
      </c>
      <c r="D30" s="34" t="inlineStr">
        <is>
          <t>Costa de Marfil</t>
        </is>
      </c>
      <c r="E30" s="3" t="n">
        <v>1</v>
      </c>
      <c r="F30" s="3" t="n">
        <v>2</v>
      </c>
      <c r="G30" s="34">
        <f>IF(E30&gt;F30,"Local",IF(E30=F30,"Empate","Visitante"))</f>
        <v/>
      </c>
      <c r="H30" s="1">
        <f>E30-F30</f>
        <v/>
      </c>
    </row>
    <row r="31">
      <c r="A31" s="34" t="n">
        <v>30</v>
      </c>
      <c r="B31" s="34" t="inlineStr">
        <is>
          <t>E</t>
        </is>
      </c>
      <c r="C31" s="34" t="inlineStr">
        <is>
          <t>Ecuador</t>
        </is>
      </c>
      <c r="D31" s="34" t="inlineStr">
        <is>
          <t>Alemania</t>
        </is>
      </c>
      <c r="E31" s="3" t="n">
        <v>0</v>
      </c>
      <c r="F31" s="3" t="n">
        <v>1</v>
      </c>
      <c r="G31" s="34">
        <f>IF(E31&gt;F31,"Local",IF(E31=F31,"Empate","Visitante"))</f>
        <v/>
      </c>
      <c r="H31" s="1">
        <f>E31-F31</f>
        <v/>
      </c>
      <c r="J31" s="6" t="inlineStr">
        <is>
          <t>Grupo</t>
        </is>
      </c>
      <c r="K31" s="7" t="inlineStr">
        <is>
          <t>Posición</t>
        </is>
      </c>
      <c r="L31" s="34" t="inlineStr">
        <is>
          <t>Equipo</t>
        </is>
      </c>
      <c r="M31" s="34" t="inlineStr">
        <is>
          <t>Puntos</t>
        </is>
      </c>
      <c r="N31" s="34" t="inlineStr">
        <is>
          <t>Diferencia</t>
        </is>
      </c>
      <c r="O31" s="34" t="inlineStr">
        <is>
          <t>GF</t>
        </is>
      </c>
      <c r="P31" s="5" t="inlineStr">
        <is>
          <t>GC</t>
        </is>
      </c>
      <c r="Q31" s="5" t="inlineStr">
        <is>
          <t>Victorias</t>
        </is>
      </c>
      <c r="R31" s="5" t="inlineStr">
        <is>
          <t>Empates</t>
        </is>
      </c>
      <c r="S31" s="7" t="inlineStr">
        <is>
          <t>Derrotas</t>
        </is>
      </c>
      <c r="T31" s="5" t="inlineStr">
        <is>
          <t>Victorias_L</t>
        </is>
      </c>
      <c r="U31" s="5" t="inlineStr">
        <is>
          <t>Victorias_V</t>
        </is>
      </c>
      <c r="V31" s="5" t="inlineStr">
        <is>
          <t>Empates_L</t>
        </is>
      </c>
      <c r="W31" s="5" t="inlineStr">
        <is>
          <t>Empates_V</t>
        </is>
      </c>
      <c r="X31" s="5" t="inlineStr">
        <is>
          <t>Derrotas_L</t>
        </is>
      </c>
      <c r="Y31" s="5" t="inlineStr">
        <is>
          <t>Derrotas_V</t>
        </is>
      </c>
      <c r="Z31" s="5" t="inlineStr">
        <is>
          <t>GF_L</t>
        </is>
      </c>
      <c r="AA31" s="5" t="inlineStr">
        <is>
          <t>GF_V</t>
        </is>
      </c>
      <c r="AB31" s="5" t="inlineStr">
        <is>
          <t>GC_L</t>
        </is>
      </c>
      <c r="AC31" s="5" t="inlineStr">
        <is>
          <t>GC_V</t>
        </is>
      </c>
    </row>
    <row r="32">
      <c r="A32" s="34" t="n">
        <v>31</v>
      </c>
      <c r="B32" s="34" t="inlineStr">
        <is>
          <t>F</t>
        </is>
      </c>
      <c r="C32" s="34" t="inlineStr">
        <is>
          <t>Países Bajos</t>
        </is>
      </c>
      <c r="D32" s="34" t="inlineStr">
        <is>
          <t>Japón</t>
        </is>
      </c>
      <c r="E32" s="3" t="n">
        <v>2</v>
      </c>
      <c r="F32" s="3" t="n">
        <v>1</v>
      </c>
      <c r="G32" s="34">
        <f>IF(E32&gt;F32,"Local",IF(E32=F32,"Empate","Visitante"))</f>
        <v/>
      </c>
      <c r="H32" s="1">
        <f>E32-F32</f>
        <v/>
      </c>
      <c r="J32" s="34" t="inlineStr">
        <is>
          <t>F</t>
        </is>
      </c>
      <c r="K32" s="8" t="n">
        <v>1</v>
      </c>
      <c r="L32" s="34" t="inlineStr">
        <is>
          <t>Países Bajos</t>
        </is>
      </c>
      <c r="M32" s="3">
        <f>(Q32*3)+R32</f>
        <v/>
      </c>
      <c r="N32" s="3">
        <f>O32-P32</f>
        <v/>
      </c>
      <c r="O32" s="3">
        <f>Z32+AA32</f>
        <v/>
      </c>
      <c r="P32" s="3">
        <f>AB32+AC32</f>
        <v/>
      </c>
      <c r="Q32" s="34">
        <f>T32+U32</f>
        <v/>
      </c>
      <c r="R32" s="34">
        <f>V32+W32</f>
        <v/>
      </c>
      <c r="S32" s="9">
        <f>X32+Y32</f>
        <v/>
      </c>
      <c r="T32" s="34">
        <f>COUNTIFS(C:C,L32,G:G,"Local")</f>
        <v/>
      </c>
      <c r="U32" s="34">
        <f>COUNTIFS(D:D,L32,G:G,"Visitante")</f>
        <v/>
      </c>
      <c r="V32" s="34">
        <f>COUNTIFS(C:C,L32,G:G,"Empate")</f>
        <v/>
      </c>
      <c r="W32" s="34">
        <f>COUNTIFS(D:D,L32,G:G,"Empate")</f>
        <v/>
      </c>
      <c r="X32" s="34">
        <f>COUNTIFS(C:C,L32,G:G,"Visitante")</f>
        <v/>
      </c>
      <c r="Y32" s="34">
        <f>COUNTIFS(D:D,L32,G:G,"Local")</f>
        <v/>
      </c>
      <c r="Z32" s="34">
        <f>SUMIF(C:C,L32,E:E)</f>
        <v/>
      </c>
      <c r="AA32" s="34">
        <f>SUMIF(D:D,L32,F:F)</f>
        <v/>
      </c>
      <c r="AB32" s="34">
        <f>SUMIF(C:C,L32,F:F)</f>
        <v/>
      </c>
      <c r="AC32" s="34">
        <f>SUMIF(D:D,L32,E:E)</f>
        <v/>
      </c>
    </row>
    <row r="33">
      <c r="A33" s="34" t="n">
        <v>32</v>
      </c>
      <c r="B33" s="34" t="inlineStr">
        <is>
          <t>F</t>
        </is>
      </c>
      <c r="C33" s="34" t="inlineStr">
        <is>
          <t>Suecia</t>
        </is>
      </c>
      <c r="D33" s="34" t="inlineStr">
        <is>
          <t>Túnez</t>
        </is>
      </c>
      <c r="E33" s="3" t="n">
        <v>2</v>
      </c>
      <c r="F33" s="3" t="n">
        <v>0</v>
      </c>
      <c r="G33" s="34">
        <f>IF(E33&gt;F33,"Local",IF(E33=F33,"Empate","Visitante"))</f>
        <v/>
      </c>
      <c r="H33" s="1">
        <f>E33-F33</f>
        <v/>
      </c>
      <c r="J33" s="32" t="n"/>
      <c r="K33" s="8" t="n">
        <v>2</v>
      </c>
      <c r="L33" s="34" t="inlineStr">
        <is>
          <t>Japón</t>
        </is>
      </c>
      <c r="M33" s="3">
        <f>(Q33*3)+R33</f>
        <v/>
      </c>
      <c r="N33" s="3">
        <f>O33-P33</f>
        <v/>
      </c>
      <c r="O33" s="3">
        <f>Z33+AA33</f>
        <v/>
      </c>
      <c r="P33" s="3">
        <f>AB33+AC33</f>
        <v/>
      </c>
      <c r="Q33" s="34">
        <f>T33+U33</f>
        <v/>
      </c>
      <c r="R33" s="34">
        <f>V33+W33</f>
        <v/>
      </c>
      <c r="S33" s="9">
        <f>X33+Y33</f>
        <v/>
      </c>
      <c r="T33" s="34">
        <f>COUNTIFS(C:C,L33,G:G,"Local")</f>
        <v/>
      </c>
      <c r="U33" s="34">
        <f>COUNTIFS(D:D,L33,G:G,"Visitante")</f>
        <v/>
      </c>
      <c r="V33" s="34">
        <f>COUNTIFS(C:C,L33,G:G,"Empate")</f>
        <v/>
      </c>
      <c r="W33" s="34">
        <f>COUNTIFS(D:D,L33,G:G,"Empate")</f>
        <v/>
      </c>
      <c r="X33" s="34">
        <f>COUNTIFS(C:C,L33,G:G,"Visitante")</f>
        <v/>
      </c>
      <c r="Y33" s="34">
        <f>COUNTIFS(D:D,L33,G:G,"Local")</f>
        <v/>
      </c>
      <c r="Z33" s="34">
        <f>SUMIF(C:C,L33,E:E)</f>
        <v/>
      </c>
      <c r="AA33" s="34">
        <f>SUMIF(D:D,L33,F:F)</f>
        <v/>
      </c>
      <c r="AB33" s="34">
        <f>SUMIF(C:C,L33,F:F)</f>
        <v/>
      </c>
      <c r="AC33" s="34">
        <f>SUMIF(D:D,L33,E:E)</f>
        <v/>
      </c>
    </row>
    <row r="34">
      <c r="A34" s="34" t="n">
        <v>33</v>
      </c>
      <c r="B34" s="34" t="inlineStr">
        <is>
          <t>F</t>
        </is>
      </c>
      <c r="C34" s="34" t="inlineStr">
        <is>
          <t>Países Bajos</t>
        </is>
      </c>
      <c r="D34" s="34" t="inlineStr">
        <is>
          <t>Suecia</t>
        </is>
      </c>
      <c r="E34" s="3" t="n">
        <v>1</v>
      </c>
      <c r="F34" s="3" t="n">
        <v>1</v>
      </c>
      <c r="G34" s="34">
        <f>IF(E34&gt;F34,"Local",IF(E34=F34,"Empate","Visitante"))</f>
        <v/>
      </c>
      <c r="H34" s="1">
        <f>E34-F34</f>
        <v/>
      </c>
      <c r="J34" s="32" t="n"/>
      <c r="K34" s="8" t="n">
        <v>3</v>
      </c>
      <c r="L34" s="34" t="inlineStr">
        <is>
          <t>Suecia</t>
        </is>
      </c>
      <c r="M34" s="3">
        <f>(Q34*3)+R34</f>
        <v/>
      </c>
      <c r="N34" s="3">
        <f>O34-P34</f>
        <v/>
      </c>
      <c r="O34" s="3">
        <f>Z34+AA34</f>
        <v/>
      </c>
      <c r="P34" s="3">
        <f>AB34+AC34</f>
        <v/>
      </c>
      <c r="Q34" s="34">
        <f>T34+U34</f>
        <v/>
      </c>
      <c r="R34" s="34">
        <f>V34+W34</f>
        <v/>
      </c>
      <c r="S34" s="9">
        <f>X34+Y34</f>
        <v/>
      </c>
      <c r="T34" s="34">
        <f>COUNTIFS(C:C,L34,G:G,"Local")</f>
        <v/>
      </c>
      <c r="U34" s="34">
        <f>COUNTIFS(D:D,L34,G:G,"Visitante")</f>
        <v/>
      </c>
      <c r="V34" s="34">
        <f>COUNTIFS(C:C,L34,G:G,"Empate")</f>
        <v/>
      </c>
      <c r="W34" s="34">
        <f>COUNTIFS(D:D,L34,G:G,"Empate")</f>
        <v/>
      </c>
      <c r="X34" s="34">
        <f>COUNTIFS(C:C,L34,G:G,"Visitante")</f>
        <v/>
      </c>
      <c r="Y34" s="34">
        <f>COUNTIFS(D:D,L34,G:G,"Local")</f>
        <v/>
      </c>
      <c r="Z34" s="34">
        <f>SUMIF(C:C,L34,E:E)</f>
        <v/>
      </c>
      <c r="AA34" s="34">
        <f>SUMIF(D:D,L34,F:F)</f>
        <v/>
      </c>
      <c r="AB34" s="34">
        <f>SUMIF(C:C,L34,F:F)</f>
        <v/>
      </c>
      <c r="AC34" s="34">
        <f>SUMIF(D:D,L34,E:E)</f>
        <v/>
      </c>
    </row>
    <row r="35">
      <c r="A35" s="34" t="n">
        <v>34</v>
      </c>
      <c r="B35" s="34" t="inlineStr">
        <is>
          <t>F</t>
        </is>
      </c>
      <c r="C35" s="34" t="inlineStr">
        <is>
          <t>Túnez</t>
        </is>
      </c>
      <c r="D35" s="34" t="inlineStr">
        <is>
          <t>Japón</t>
        </is>
      </c>
      <c r="E35" s="3" t="n">
        <v>0</v>
      </c>
      <c r="F35" s="3" t="n">
        <v>3</v>
      </c>
      <c r="G35" s="34">
        <f>IF(E35&gt;F35,"Local",IF(E35=F35,"Empate","Visitante"))</f>
        <v/>
      </c>
      <c r="H35" s="1">
        <f>E35-F35</f>
        <v/>
      </c>
      <c r="J35" s="33" t="n"/>
      <c r="K35" s="10" t="n">
        <v>4</v>
      </c>
      <c r="L35" s="4" t="inlineStr">
        <is>
          <t>Túnez</t>
        </is>
      </c>
      <c r="M35" s="11">
        <f>(Q35*3)+R35</f>
        <v/>
      </c>
      <c r="N35" s="11">
        <f>O35-P35</f>
        <v/>
      </c>
      <c r="O35" s="11">
        <f>Z35+AA35</f>
        <v/>
      </c>
      <c r="P35" s="11">
        <f>AB35+AC35</f>
        <v/>
      </c>
      <c r="Q35" s="4">
        <f>T35+U35</f>
        <v/>
      </c>
      <c r="R35" s="4">
        <f>V35+W35</f>
        <v/>
      </c>
      <c r="S35" s="12">
        <f>X35+Y35</f>
        <v/>
      </c>
      <c r="T35" s="34">
        <f>COUNTIFS(C:C,L35,G:G,"Local")</f>
        <v/>
      </c>
      <c r="U35" s="34">
        <f>COUNTIFS(D:D,L35,G:G,"Visitante")</f>
        <v/>
      </c>
      <c r="V35" s="34">
        <f>COUNTIFS(C:C,L35,G:G,"Empate")</f>
        <v/>
      </c>
      <c r="W35" s="34">
        <f>COUNTIFS(D:D,L35,G:G,"Empate")</f>
        <v/>
      </c>
      <c r="X35" s="34">
        <f>COUNTIFS(C:C,L35,G:G,"Visitante")</f>
        <v/>
      </c>
      <c r="Y35" s="34">
        <f>COUNTIFS(D:D,L35,G:G,"Local")</f>
        <v/>
      </c>
      <c r="Z35" s="34">
        <f>SUMIF(C:C,L35,E:E)</f>
        <v/>
      </c>
      <c r="AA35" s="34">
        <f>SUMIF(D:D,L35,F:F)</f>
        <v/>
      </c>
      <c r="AB35" s="34">
        <f>SUMIF(C:C,L35,F:F)</f>
        <v/>
      </c>
      <c r="AC35" s="34">
        <f>SUMIF(D:D,L35,E:E)</f>
        <v/>
      </c>
    </row>
    <row r="36">
      <c r="A36" s="34" t="n">
        <v>35</v>
      </c>
      <c r="B36" s="34" t="inlineStr">
        <is>
          <t>F</t>
        </is>
      </c>
      <c r="C36" s="34" t="inlineStr">
        <is>
          <t>Japón</t>
        </is>
      </c>
      <c r="D36" s="34" t="inlineStr">
        <is>
          <t>Suecia</t>
        </is>
      </c>
      <c r="E36" s="3" t="n">
        <v>2</v>
      </c>
      <c r="F36" s="3" t="n">
        <v>1</v>
      </c>
      <c r="G36" s="34">
        <f>IF(E36&gt;F36,"Local",IF(E36=F36,"Empate","Visitante"))</f>
        <v/>
      </c>
      <c r="H36" s="1">
        <f>E36-F36</f>
        <v/>
      </c>
    </row>
    <row r="37">
      <c r="A37" s="34" t="n">
        <v>36</v>
      </c>
      <c r="B37" s="34" t="inlineStr">
        <is>
          <t>F</t>
        </is>
      </c>
      <c r="C37" s="34" t="inlineStr">
        <is>
          <t>Túnez</t>
        </is>
      </c>
      <c r="D37" s="34" t="inlineStr">
        <is>
          <t>Países Bajos</t>
        </is>
      </c>
      <c r="E37" s="3" t="n">
        <v>0</v>
      </c>
      <c r="F37" s="3" t="n">
        <v>2</v>
      </c>
      <c r="G37" s="34">
        <f>IF(E37&gt;F37,"Local",IF(E37=F37,"Empate","Visitante"))</f>
        <v/>
      </c>
      <c r="H37" s="1">
        <f>E37-F37</f>
        <v/>
      </c>
      <c r="J37" s="6" t="inlineStr">
        <is>
          <t>Grupo</t>
        </is>
      </c>
      <c r="K37" s="7" t="inlineStr">
        <is>
          <t>Posición</t>
        </is>
      </c>
      <c r="L37" s="34" t="inlineStr">
        <is>
          <t>Equipo</t>
        </is>
      </c>
      <c r="M37" s="34" t="inlineStr">
        <is>
          <t>Puntos</t>
        </is>
      </c>
      <c r="N37" s="34" t="inlineStr">
        <is>
          <t>Diferencia</t>
        </is>
      </c>
      <c r="O37" s="34" t="inlineStr">
        <is>
          <t>GF</t>
        </is>
      </c>
      <c r="P37" s="5" t="inlineStr">
        <is>
          <t>GC</t>
        </is>
      </c>
      <c r="Q37" s="5" t="inlineStr">
        <is>
          <t>Victorias</t>
        </is>
      </c>
      <c r="R37" s="5" t="inlineStr">
        <is>
          <t>Empates</t>
        </is>
      </c>
      <c r="S37" s="7" t="inlineStr">
        <is>
          <t>Derrotas</t>
        </is>
      </c>
      <c r="T37" s="5" t="inlineStr">
        <is>
          <t>Victorias_L</t>
        </is>
      </c>
      <c r="U37" s="5" t="inlineStr">
        <is>
          <t>Victorias_V</t>
        </is>
      </c>
      <c r="V37" s="5" t="inlineStr">
        <is>
          <t>Empates_L</t>
        </is>
      </c>
      <c r="W37" s="5" t="inlineStr">
        <is>
          <t>Empates_V</t>
        </is>
      </c>
      <c r="X37" s="5" t="inlineStr">
        <is>
          <t>Derrotas_L</t>
        </is>
      </c>
      <c r="Y37" s="5" t="inlineStr">
        <is>
          <t>Derrotas_V</t>
        </is>
      </c>
      <c r="Z37" s="5" t="inlineStr">
        <is>
          <t>GF_L</t>
        </is>
      </c>
      <c r="AA37" s="5" t="inlineStr">
        <is>
          <t>GF_V</t>
        </is>
      </c>
      <c r="AB37" s="5" t="inlineStr">
        <is>
          <t>GC_L</t>
        </is>
      </c>
      <c r="AC37" s="5" t="inlineStr">
        <is>
          <t>GC_V</t>
        </is>
      </c>
    </row>
    <row r="38">
      <c r="A38" s="34" t="n">
        <v>37</v>
      </c>
      <c r="B38" s="34" t="inlineStr">
        <is>
          <t>G</t>
        </is>
      </c>
      <c r="C38" s="34" t="inlineStr">
        <is>
          <t>Bélgica</t>
        </is>
      </c>
      <c r="D38" s="34" t="inlineStr">
        <is>
          <t>Egipto</t>
        </is>
      </c>
      <c r="E38" s="3" t="n">
        <v>2</v>
      </c>
      <c r="F38" s="3" t="n">
        <v>1</v>
      </c>
      <c r="G38" s="34">
        <f>IF(E38&gt;F38,"Local",IF(E38=F38,"Empate","Visitante"))</f>
        <v/>
      </c>
      <c r="H38" s="1">
        <f>E38-F38</f>
        <v/>
      </c>
      <c r="J38" s="34" t="inlineStr">
        <is>
          <t>G</t>
        </is>
      </c>
      <c r="K38" s="8" t="n">
        <v>1</v>
      </c>
      <c r="L38" s="34" t="inlineStr">
        <is>
          <t>Bélgica</t>
        </is>
      </c>
      <c r="M38" s="3">
        <f>(Q38*3)+R38</f>
        <v/>
      </c>
      <c r="N38" s="3">
        <f>O38-P38</f>
        <v/>
      </c>
      <c r="O38" s="3">
        <f>Z38+AA38</f>
        <v/>
      </c>
      <c r="P38" s="3">
        <f>AB38+AC38</f>
        <v/>
      </c>
      <c r="Q38" s="34">
        <f>T38+U38</f>
        <v/>
      </c>
      <c r="R38" s="34">
        <f>V38+W38</f>
        <v/>
      </c>
      <c r="S38" s="9">
        <f>X38+Y38</f>
        <v/>
      </c>
      <c r="T38" s="34">
        <f>COUNTIFS(C:C,L38,G:G,"Local")</f>
        <v/>
      </c>
      <c r="U38" s="34">
        <f>COUNTIFS(D:D,L38,G:G,"Visitante")</f>
        <v/>
      </c>
      <c r="V38" s="34">
        <f>COUNTIFS(C:C,L38,G:G,"Empate")</f>
        <v/>
      </c>
      <c r="W38" s="34">
        <f>COUNTIFS(D:D,L38,G:G,"Empate")</f>
        <v/>
      </c>
      <c r="X38" s="34">
        <f>COUNTIFS(C:C,L38,G:G,"Visitante")</f>
        <v/>
      </c>
      <c r="Y38" s="34">
        <f>COUNTIFS(D:D,L38,G:G,"Local")</f>
        <v/>
      </c>
      <c r="Z38" s="34">
        <f>SUMIF(C:C,L38,E:E)</f>
        <v/>
      </c>
      <c r="AA38" s="34">
        <f>SUMIF(D:D,L38,F:F)</f>
        <v/>
      </c>
      <c r="AB38" s="34">
        <f>SUMIF(C:C,L38,F:F)</f>
        <v/>
      </c>
      <c r="AC38" s="34">
        <f>SUMIF(D:D,L38,E:E)</f>
        <v/>
      </c>
    </row>
    <row r="39">
      <c r="A39" s="34" t="n">
        <v>38</v>
      </c>
      <c r="B39" s="34" t="inlineStr">
        <is>
          <t>G</t>
        </is>
      </c>
      <c r="C39" s="34" t="inlineStr">
        <is>
          <t>Irán</t>
        </is>
      </c>
      <c r="D39" s="34" t="inlineStr">
        <is>
          <t>Nueva Zelanda</t>
        </is>
      </c>
      <c r="E39" s="3" t="n">
        <v>2</v>
      </c>
      <c r="F39" s="3" t="n">
        <v>0</v>
      </c>
      <c r="G39" s="34">
        <f>IF(E39&gt;F39,"Local",IF(E39=F39,"Empate","Visitante"))</f>
        <v/>
      </c>
      <c r="H39" s="1">
        <f>E39-F39</f>
        <v/>
      </c>
      <c r="J39" s="32" t="n"/>
      <c r="K39" s="8" t="n">
        <v>2</v>
      </c>
      <c r="L39" s="34" t="inlineStr">
        <is>
          <t>Irán</t>
        </is>
      </c>
      <c r="M39" s="3">
        <f>(Q39*3)+R39</f>
        <v/>
      </c>
      <c r="N39" s="3">
        <f>O39-P39</f>
        <v/>
      </c>
      <c r="O39" s="3">
        <f>Z39+AA39</f>
        <v/>
      </c>
      <c r="P39" s="3">
        <f>AB39+AC39</f>
        <v/>
      </c>
      <c r="Q39" s="34">
        <f>T39+U39</f>
        <v/>
      </c>
      <c r="R39" s="34">
        <f>V39+W39</f>
        <v/>
      </c>
      <c r="S39" s="9">
        <f>X39+Y39</f>
        <v/>
      </c>
      <c r="T39" s="34">
        <f>COUNTIFS(C:C,L39,G:G,"Local")</f>
        <v/>
      </c>
      <c r="U39" s="34">
        <f>COUNTIFS(D:D,L39,G:G,"Visitante")</f>
        <v/>
      </c>
      <c r="V39" s="34">
        <f>COUNTIFS(C:C,L39,G:G,"Empate")</f>
        <v/>
      </c>
      <c r="W39" s="34">
        <f>COUNTIFS(D:D,L39,G:G,"Empate")</f>
        <v/>
      </c>
      <c r="X39" s="34">
        <f>COUNTIFS(C:C,L39,G:G,"Visitante")</f>
        <v/>
      </c>
      <c r="Y39" s="34">
        <f>COUNTIFS(D:D,L39,G:G,"Local")</f>
        <v/>
      </c>
      <c r="Z39" s="34">
        <f>SUMIF(C:C,L39,E:E)</f>
        <v/>
      </c>
      <c r="AA39" s="34">
        <f>SUMIF(D:D,L39,F:F)</f>
        <v/>
      </c>
      <c r="AB39" s="34">
        <f>SUMIF(C:C,L39,F:F)</f>
        <v/>
      </c>
      <c r="AC39" s="34">
        <f>SUMIF(D:D,L39,E:E)</f>
        <v/>
      </c>
    </row>
    <row r="40">
      <c r="A40" s="34" t="n">
        <v>39</v>
      </c>
      <c r="B40" s="34" t="inlineStr">
        <is>
          <t>G</t>
        </is>
      </c>
      <c r="C40" s="34" t="inlineStr">
        <is>
          <t>Bélgica</t>
        </is>
      </c>
      <c r="D40" s="34" t="inlineStr">
        <is>
          <t>Irán</t>
        </is>
      </c>
      <c r="E40" s="3" t="n">
        <v>1</v>
      </c>
      <c r="F40" s="3" t="n">
        <v>1</v>
      </c>
      <c r="G40" s="34">
        <f>IF(E40&gt;F40,"Local",IF(E40=F40,"Empate","Visitante"))</f>
        <v/>
      </c>
      <c r="H40" s="1">
        <f>E40-F40</f>
        <v/>
      </c>
      <c r="J40" s="32" t="n"/>
      <c r="K40" s="8" t="n">
        <v>3</v>
      </c>
      <c r="L40" s="34" t="inlineStr">
        <is>
          <t>Egipto</t>
        </is>
      </c>
      <c r="M40" s="3">
        <f>(Q40*3)+R40</f>
        <v/>
      </c>
      <c r="N40" s="3">
        <f>O40-P40</f>
        <v/>
      </c>
      <c r="O40" s="3">
        <f>Z40+AA40</f>
        <v/>
      </c>
      <c r="P40" s="3">
        <f>AB40+AC40</f>
        <v/>
      </c>
      <c r="Q40" s="34">
        <f>T40+U40</f>
        <v/>
      </c>
      <c r="R40" s="34">
        <f>V40+W40</f>
        <v/>
      </c>
      <c r="S40" s="9">
        <f>X40+Y40</f>
        <v/>
      </c>
      <c r="T40" s="34">
        <f>COUNTIFS(C:C,L40,G:G,"Local")</f>
        <v/>
      </c>
      <c r="U40" s="34">
        <f>COUNTIFS(D:D,L40,G:G,"Visitante")</f>
        <v/>
      </c>
      <c r="V40" s="34">
        <f>COUNTIFS(C:C,L40,G:G,"Empate")</f>
        <v/>
      </c>
      <c r="W40" s="34">
        <f>COUNTIFS(D:D,L40,G:G,"Empate")</f>
        <v/>
      </c>
      <c r="X40" s="34">
        <f>COUNTIFS(C:C,L40,G:G,"Visitante")</f>
        <v/>
      </c>
      <c r="Y40" s="34">
        <f>COUNTIFS(D:D,L40,G:G,"Local")</f>
        <v/>
      </c>
      <c r="Z40" s="34">
        <f>SUMIF(C:C,L40,E:E)</f>
        <v/>
      </c>
      <c r="AA40" s="34">
        <f>SUMIF(D:D,L40,F:F)</f>
        <v/>
      </c>
      <c r="AB40" s="34">
        <f>SUMIF(C:C,L40,F:F)</f>
        <v/>
      </c>
      <c r="AC40" s="34">
        <f>SUMIF(D:D,L40,E:E)</f>
        <v/>
      </c>
    </row>
    <row r="41">
      <c r="A41" s="34" t="n">
        <v>40</v>
      </c>
      <c r="B41" s="34" t="inlineStr">
        <is>
          <t>G</t>
        </is>
      </c>
      <c r="C41" s="34" t="inlineStr">
        <is>
          <t>Nueva Zelanda</t>
        </is>
      </c>
      <c r="D41" s="34" t="inlineStr">
        <is>
          <t>Egipto</t>
        </is>
      </c>
      <c r="E41" s="3" t="n">
        <v>1</v>
      </c>
      <c r="F41" s="3" t="n">
        <v>1</v>
      </c>
      <c r="G41" s="34">
        <f>IF(E41&gt;F41,"Local",IF(E41=F41,"Empate","Visitante"))</f>
        <v/>
      </c>
      <c r="H41" s="1">
        <f>E41-F41</f>
        <v/>
      </c>
      <c r="J41" s="33" t="n"/>
      <c r="K41" s="10" t="n">
        <v>4</v>
      </c>
      <c r="L41" s="4" t="inlineStr">
        <is>
          <t>Nueva Zelanda</t>
        </is>
      </c>
      <c r="M41" s="11">
        <f>(Q41*3)+R41</f>
        <v/>
      </c>
      <c r="N41" s="11">
        <f>O41-P41</f>
        <v/>
      </c>
      <c r="O41" s="11">
        <f>Z41+AA41</f>
        <v/>
      </c>
      <c r="P41" s="11">
        <f>AB41+AC41</f>
        <v/>
      </c>
      <c r="Q41" s="4">
        <f>T41+U41</f>
        <v/>
      </c>
      <c r="R41" s="4">
        <f>V41+W41</f>
        <v/>
      </c>
      <c r="S41" s="12">
        <f>X41+Y41</f>
        <v/>
      </c>
      <c r="T41" s="34">
        <f>COUNTIFS(C:C,L41,G:G,"Local")</f>
        <v/>
      </c>
      <c r="U41" s="34">
        <f>COUNTIFS(D:D,L41,G:G,"Visitante")</f>
        <v/>
      </c>
      <c r="V41" s="34">
        <f>COUNTIFS(C:C,L41,G:G,"Empate")</f>
        <v/>
      </c>
      <c r="W41" s="34">
        <f>COUNTIFS(D:D,L41,G:G,"Empate")</f>
        <v/>
      </c>
      <c r="X41" s="34">
        <f>COUNTIFS(C:C,L41,G:G,"Visitante")</f>
        <v/>
      </c>
      <c r="Y41" s="34">
        <f>COUNTIFS(D:D,L41,G:G,"Local")</f>
        <v/>
      </c>
      <c r="Z41" s="34">
        <f>SUMIF(C:C,L41,E:E)</f>
        <v/>
      </c>
      <c r="AA41" s="34">
        <f>SUMIF(D:D,L41,F:F)</f>
        <v/>
      </c>
      <c r="AB41" s="34">
        <f>SUMIF(C:C,L41,F:F)</f>
        <v/>
      </c>
      <c r="AC41" s="34">
        <f>SUMIF(D:D,L41,E:E)</f>
        <v/>
      </c>
    </row>
    <row r="42">
      <c r="A42" s="34" t="n">
        <v>41</v>
      </c>
      <c r="B42" s="34" t="inlineStr">
        <is>
          <t>G</t>
        </is>
      </c>
      <c r="C42" s="34" t="inlineStr">
        <is>
          <t>Egipto</t>
        </is>
      </c>
      <c r="D42" s="34" t="inlineStr">
        <is>
          <t>Irán</t>
        </is>
      </c>
      <c r="E42" s="3" t="n">
        <v>1</v>
      </c>
      <c r="F42" s="3" t="n">
        <v>2</v>
      </c>
      <c r="G42" s="34">
        <f>IF(E42&gt;F42,"Local",IF(E42=F42,"Empate","Visitante"))</f>
        <v/>
      </c>
      <c r="H42" s="1">
        <f>E42-F42</f>
        <v/>
      </c>
    </row>
    <row r="43">
      <c r="A43" s="34" t="n">
        <v>42</v>
      </c>
      <c r="B43" s="34" t="inlineStr">
        <is>
          <t>G</t>
        </is>
      </c>
      <c r="C43" s="34" t="inlineStr">
        <is>
          <t>Nueva Zelanda</t>
        </is>
      </c>
      <c r="D43" s="34" t="inlineStr">
        <is>
          <t>Bélgica</t>
        </is>
      </c>
      <c r="E43" s="3" t="n">
        <v>0</v>
      </c>
      <c r="F43" s="3" t="n">
        <v>3</v>
      </c>
      <c r="G43" s="34">
        <f>IF(E43&gt;F43,"Local",IF(E43=F43,"Empate","Visitante"))</f>
        <v/>
      </c>
      <c r="H43" s="1">
        <f>E43-F43</f>
        <v/>
      </c>
      <c r="J43" s="6" t="inlineStr">
        <is>
          <t>Grupo</t>
        </is>
      </c>
      <c r="K43" s="7" t="inlineStr">
        <is>
          <t>Posición</t>
        </is>
      </c>
      <c r="L43" s="34" t="inlineStr">
        <is>
          <t>Equipo</t>
        </is>
      </c>
      <c r="M43" s="34" t="inlineStr">
        <is>
          <t>Puntos</t>
        </is>
      </c>
      <c r="N43" s="34" t="inlineStr">
        <is>
          <t>Diferencia</t>
        </is>
      </c>
      <c r="O43" s="34" t="inlineStr">
        <is>
          <t>GF</t>
        </is>
      </c>
      <c r="P43" s="5" t="inlineStr">
        <is>
          <t>GC</t>
        </is>
      </c>
      <c r="Q43" s="5" t="inlineStr">
        <is>
          <t>Victorias</t>
        </is>
      </c>
      <c r="R43" s="5" t="inlineStr">
        <is>
          <t>Empates</t>
        </is>
      </c>
      <c r="S43" s="7" t="inlineStr">
        <is>
          <t>Derrotas</t>
        </is>
      </c>
      <c r="T43" s="5" t="inlineStr">
        <is>
          <t>Victorias_L</t>
        </is>
      </c>
      <c r="U43" s="5" t="inlineStr">
        <is>
          <t>Victorias_V</t>
        </is>
      </c>
      <c r="V43" s="5" t="inlineStr">
        <is>
          <t>Empates_L</t>
        </is>
      </c>
      <c r="W43" s="5" t="inlineStr">
        <is>
          <t>Empates_V</t>
        </is>
      </c>
      <c r="X43" s="5" t="inlineStr">
        <is>
          <t>Derrotas_L</t>
        </is>
      </c>
      <c r="Y43" s="5" t="inlineStr">
        <is>
          <t>Derrotas_V</t>
        </is>
      </c>
      <c r="Z43" s="5" t="inlineStr">
        <is>
          <t>GF_L</t>
        </is>
      </c>
      <c r="AA43" s="5" t="inlineStr">
        <is>
          <t>GF_V</t>
        </is>
      </c>
      <c r="AB43" s="5" t="inlineStr">
        <is>
          <t>GC_L</t>
        </is>
      </c>
      <c r="AC43" s="5" t="inlineStr">
        <is>
          <t>GC_V</t>
        </is>
      </c>
    </row>
    <row r="44">
      <c r="A44" s="34" t="n">
        <v>43</v>
      </c>
      <c r="B44" s="34" t="inlineStr">
        <is>
          <t>H</t>
        </is>
      </c>
      <c r="C44" s="34" t="inlineStr">
        <is>
          <t>España</t>
        </is>
      </c>
      <c r="D44" s="34" t="inlineStr">
        <is>
          <t>Cabo Verde</t>
        </is>
      </c>
      <c r="E44" s="3" t="n">
        <v>5</v>
      </c>
      <c r="F44" s="3" t="n">
        <v>0</v>
      </c>
      <c r="G44" s="34">
        <f>IF(E44&gt;F44,"Local",IF(E44=F44,"Empate","Visitante"))</f>
        <v/>
      </c>
      <c r="H44" s="1">
        <f>E44-F44</f>
        <v/>
      </c>
      <c r="J44" s="34" t="inlineStr">
        <is>
          <t>H</t>
        </is>
      </c>
      <c r="K44" s="8" t="n">
        <v>1</v>
      </c>
      <c r="L44" s="34" t="inlineStr">
        <is>
          <t>España</t>
        </is>
      </c>
      <c r="M44" s="3">
        <f>(Q44*3)+R44</f>
        <v/>
      </c>
      <c r="N44" s="3">
        <f>O44-P44</f>
        <v/>
      </c>
      <c r="O44" s="3">
        <f>Z44+AA44</f>
        <v/>
      </c>
      <c r="P44" s="3">
        <f>AB44+AC44</f>
        <v/>
      </c>
      <c r="Q44" s="34">
        <f>T44+U44</f>
        <v/>
      </c>
      <c r="R44" s="34">
        <f>V44+W44</f>
        <v/>
      </c>
      <c r="S44" s="9">
        <f>X44+Y44</f>
        <v/>
      </c>
      <c r="T44" s="34">
        <f>COUNTIFS(C:C,L44,G:G,"Local")</f>
        <v/>
      </c>
      <c r="U44" s="34">
        <f>COUNTIFS(D:D,L44,G:G,"Visitante")</f>
        <v/>
      </c>
      <c r="V44" s="34">
        <f>COUNTIFS(C:C,L44,G:G,"Empate")</f>
        <v/>
      </c>
      <c r="W44" s="34">
        <f>COUNTIFS(D:D,L44,G:G,"Empate")</f>
        <v/>
      </c>
      <c r="X44" s="34">
        <f>COUNTIFS(C:C,L44,G:G,"Visitante")</f>
        <v/>
      </c>
      <c r="Y44" s="34">
        <f>COUNTIFS(D:D,L44,G:G,"Local")</f>
        <v/>
      </c>
      <c r="Z44" s="34">
        <f>SUMIF(C:C,L44,E:E)</f>
        <v/>
      </c>
      <c r="AA44" s="34">
        <f>SUMIF(D:D,L44,F:F)</f>
        <v/>
      </c>
      <c r="AB44" s="34">
        <f>SUMIF(C:C,L44,F:F)</f>
        <v/>
      </c>
      <c r="AC44" s="34">
        <f>SUMIF(D:D,L44,E:E)</f>
        <v/>
      </c>
    </row>
    <row r="45">
      <c r="A45" s="34" t="n">
        <v>44</v>
      </c>
      <c r="B45" s="34" t="inlineStr">
        <is>
          <t>H</t>
        </is>
      </c>
      <c r="C45" s="34" t="inlineStr">
        <is>
          <t>Arabia Saudí</t>
        </is>
      </c>
      <c r="D45" s="34" t="inlineStr">
        <is>
          <t>Uruguay</t>
        </is>
      </c>
      <c r="E45" s="3" t="n">
        <v>1</v>
      </c>
      <c r="F45" s="3" t="n">
        <v>2</v>
      </c>
      <c r="G45" s="34">
        <f>IF(E45&gt;F45,"Local",IF(E45=F45,"Empate","Visitante"))</f>
        <v/>
      </c>
      <c r="H45" s="1">
        <f>E45-F45</f>
        <v/>
      </c>
      <c r="J45" s="32" t="n"/>
      <c r="K45" s="8" t="n">
        <v>2</v>
      </c>
      <c r="L45" s="34" t="inlineStr">
        <is>
          <t>Uruguay</t>
        </is>
      </c>
      <c r="M45" s="3">
        <f>(Q45*3)+R45</f>
        <v/>
      </c>
      <c r="N45" s="3">
        <f>O45-P45</f>
        <v/>
      </c>
      <c r="O45" s="3">
        <f>Z45+AA45</f>
        <v/>
      </c>
      <c r="P45" s="3">
        <f>AB45+AC45</f>
        <v/>
      </c>
      <c r="Q45" s="34">
        <f>T45+U45</f>
        <v/>
      </c>
      <c r="R45" s="34">
        <f>V45+W45</f>
        <v/>
      </c>
      <c r="S45" s="9">
        <f>X45+Y45</f>
        <v/>
      </c>
      <c r="T45" s="34">
        <f>COUNTIFS(C:C,L45,G:G,"Local")</f>
        <v/>
      </c>
      <c r="U45" s="34">
        <f>COUNTIFS(D:D,L45,G:G,"Visitante")</f>
        <v/>
      </c>
      <c r="V45" s="34">
        <f>COUNTIFS(C:C,L45,G:G,"Empate")</f>
        <v/>
      </c>
      <c r="W45" s="34">
        <f>COUNTIFS(D:D,L45,G:G,"Empate")</f>
        <v/>
      </c>
      <c r="X45" s="34">
        <f>COUNTIFS(C:C,L45,G:G,"Visitante")</f>
        <v/>
      </c>
      <c r="Y45" s="34">
        <f>COUNTIFS(D:D,L45,G:G,"Local")</f>
        <v/>
      </c>
      <c r="Z45" s="34">
        <f>SUMIF(C:C,L45,E:E)</f>
        <v/>
      </c>
      <c r="AA45" s="34">
        <f>SUMIF(D:D,L45,F:F)</f>
        <v/>
      </c>
      <c r="AB45" s="34">
        <f>SUMIF(C:C,L45,F:F)</f>
        <v/>
      </c>
      <c r="AC45" s="34">
        <f>SUMIF(D:D,L45,E:E)</f>
        <v/>
      </c>
    </row>
    <row r="46">
      <c r="A46" s="34" t="n">
        <v>45</v>
      </c>
      <c r="B46" s="34" t="inlineStr">
        <is>
          <t>H</t>
        </is>
      </c>
      <c r="C46" s="34" t="inlineStr">
        <is>
          <t>España</t>
        </is>
      </c>
      <c r="D46" s="34" t="inlineStr">
        <is>
          <t>Arabia Saudí</t>
        </is>
      </c>
      <c r="E46" s="3" t="n">
        <v>2</v>
      </c>
      <c r="F46" s="3" t="n">
        <v>0</v>
      </c>
      <c r="G46" s="34">
        <f>IF(E46&gt;F46,"Local",IF(E46=F46,"Empate","Visitante"))</f>
        <v/>
      </c>
      <c r="H46" s="1">
        <f>E46-F46</f>
        <v/>
      </c>
      <c r="J46" s="32" t="n"/>
      <c r="K46" s="8" t="n">
        <v>3</v>
      </c>
      <c r="L46" s="34" t="inlineStr">
        <is>
          <t>Arabia Saudí</t>
        </is>
      </c>
      <c r="M46" s="3">
        <f>(Q46*3)+R46</f>
        <v/>
      </c>
      <c r="N46" s="3">
        <f>O46-P46</f>
        <v/>
      </c>
      <c r="O46" s="3">
        <f>Z46+AA46</f>
        <v/>
      </c>
      <c r="P46" s="3">
        <f>AB46+AC46</f>
        <v/>
      </c>
      <c r="Q46" s="34">
        <f>T46+U46</f>
        <v/>
      </c>
      <c r="R46" s="34">
        <f>V46+W46</f>
        <v/>
      </c>
      <c r="S46" s="9">
        <f>X46+Y46</f>
        <v/>
      </c>
      <c r="T46" s="34">
        <f>COUNTIFS(C:C,L46,G:G,"Local")</f>
        <v/>
      </c>
      <c r="U46" s="34">
        <f>COUNTIFS(D:D,L46,G:G,"Visitante")</f>
        <v/>
      </c>
      <c r="V46" s="34">
        <f>COUNTIFS(C:C,L46,G:G,"Empate")</f>
        <v/>
      </c>
      <c r="W46" s="34">
        <f>COUNTIFS(D:D,L46,G:G,"Empate")</f>
        <v/>
      </c>
      <c r="X46" s="34">
        <f>COUNTIFS(C:C,L46,G:G,"Visitante")</f>
        <v/>
      </c>
      <c r="Y46" s="34">
        <f>COUNTIFS(D:D,L46,G:G,"Local")</f>
        <v/>
      </c>
      <c r="Z46" s="34">
        <f>SUMIF(C:C,L46,E:E)</f>
        <v/>
      </c>
      <c r="AA46" s="34">
        <f>SUMIF(D:D,L46,F:F)</f>
        <v/>
      </c>
      <c r="AB46" s="34">
        <f>SUMIF(C:C,L46,F:F)</f>
        <v/>
      </c>
      <c r="AC46" s="34">
        <f>SUMIF(D:D,L46,E:E)</f>
        <v/>
      </c>
    </row>
    <row r="47">
      <c r="A47" s="34" t="n">
        <v>46</v>
      </c>
      <c r="B47" s="34" t="inlineStr">
        <is>
          <t>H</t>
        </is>
      </c>
      <c r="C47" s="34" t="inlineStr">
        <is>
          <t>Uruguay</t>
        </is>
      </c>
      <c r="D47" s="34" t="inlineStr">
        <is>
          <t>Cabo Verde</t>
        </is>
      </c>
      <c r="E47" s="3" t="n">
        <v>2</v>
      </c>
      <c r="F47" s="3" t="n">
        <v>0</v>
      </c>
      <c r="G47" s="34">
        <f>IF(E47&gt;F47,"Local",IF(E47=F47,"Empate","Visitante"))</f>
        <v/>
      </c>
      <c r="H47" s="1">
        <f>E47-F47</f>
        <v/>
      </c>
      <c r="J47" s="33" t="n"/>
      <c r="K47" s="10" t="n">
        <v>4</v>
      </c>
      <c r="L47" s="4" t="inlineStr">
        <is>
          <t>Cabo Verde</t>
        </is>
      </c>
      <c r="M47" s="11">
        <f>(Q47*3)+R47</f>
        <v/>
      </c>
      <c r="N47" s="11">
        <f>O47-P47</f>
        <v/>
      </c>
      <c r="O47" s="11">
        <f>Z47+AA47</f>
        <v/>
      </c>
      <c r="P47" s="11">
        <f>AB47+AC47</f>
        <v/>
      </c>
      <c r="Q47" s="4">
        <f>T47+U47</f>
        <v/>
      </c>
      <c r="R47" s="4">
        <f>V47+W47</f>
        <v/>
      </c>
      <c r="S47" s="12">
        <f>X47+Y47</f>
        <v/>
      </c>
      <c r="T47" s="34">
        <f>COUNTIFS(C:C,L47,G:G,"Local")</f>
        <v/>
      </c>
      <c r="U47" s="34">
        <f>COUNTIFS(D:D,L47,G:G,"Visitante")</f>
        <v/>
      </c>
      <c r="V47" s="34">
        <f>COUNTIFS(C:C,L47,G:G,"Empate")</f>
        <v/>
      </c>
      <c r="W47" s="34">
        <f>COUNTIFS(D:D,L47,G:G,"Empate")</f>
        <v/>
      </c>
      <c r="X47" s="34">
        <f>COUNTIFS(C:C,L47,G:G,"Visitante")</f>
        <v/>
      </c>
      <c r="Y47" s="34">
        <f>COUNTIFS(D:D,L47,G:G,"Local")</f>
        <v/>
      </c>
      <c r="Z47" s="34">
        <f>SUMIF(C:C,L47,E:E)</f>
        <v/>
      </c>
      <c r="AA47" s="34">
        <f>SUMIF(D:D,L47,F:F)</f>
        <v/>
      </c>
      <c r="AB47" s="34">
        <f>SUMIF(C:C,L47,F:F)</f>
        <v/>
      </c>
      <c r="AC47" s="34">
        <f>SUMIF(D:D,L47,E:E)</f>
        <v/>
      </c>
    </row>
    <row r="48">
      <c r="A48" s="34" t="n">
        <v>47</v>
      </c>
      <c r="B48" s="34" t="inlineStr">
        <is>
          <t>H</t>
        </is>
      </c>
      <c r="C48" s="34" t="inlineStr">
        <is>
          <t>Cabo Verde</t>
        </is>
      </c>
      <c r="D48" s="34" t="inlineStr">
        <is>
          <t>Arabia Saudí</t>
        </is>
      </c>
      <c r="E48" s="3" t="n">
        <v>1</v>
      </c>
      <c r="F48" s="3" t="n">
        <v>2</v>
      </c>
      <c r="G48" s="34">
        <f>IF(E48&gt;F48,"Local",IF(E48=F48,"Empate","Visitante"))</f>
        <v/>
      </c>
      <c r="H48" s="1">
        <f>E48-F48</f>
        <v/>
      </c>
    </row>
    <row r="49">
      <c r="A49" s="34" t="n">
        <v>48</v>
      </c>
      <c r="B49" s="34" t="inlineStr">
        <is>
          <t>H</t>
        </is>
      </c>
      <c r="C49" s="34" t="inlineStr">
        <is>
          <t>Uruguay</t>
        </is>
      </c>
      <c r="D49" s="34" t="inlineStr">
        <is>
          <t>España</t>
        </is>
      </c>
      <c r="E49" s="3" t="n">
        <v>1</v>
      </c>
      <c r="F49" s="3" t="n">
        <v>3</v>
      </c>
      <c r="G49" s="34">
        <f>IF(E49&gt;F49,"Local",IF(E49=F49,"Empate","Visitante"))</f>
        <v/>
      </c>
      <c r="H49" s="1">
        <f>E49-F49</f>
        <v/>
      </c>
      <c r="J49" s="6" t="inlineStr">
        <is>
          <t>Grupo</t>
        </is>
      </c>
      <c r="K49" s="7" t="inlineStr">
        <is>
          <t>Posición</t>
        </is>
      </c>
      <c r="L49" s="34" t="inlineStr">
        <is>
          <t>Equipo</t>
        </is>
      </c>
      <c r="M49" s="34" t="inlineStr">
        <is>
          <t>Puntos</t>
        </is>
      </c>
      <c r="N49" s="34" t="inlineStr">
        <is>
          <t>Diferencia</t>
        </is>
      </c>
      <c r="O49" s="34" t="inlineStr">
        <is>
          <t>GF</t>
        </is>
      </c>
      <c r="P49" s="5" t="inlineStr">
        <is>
          <t>GC</t>
        </is>
      </c>
      <c r="Q49" s="5" t="inlineStr">
        <is>
          <t>Victorias</t>
        </is>
      </c>
      <c r="R49" s="5" t="inlineStr">
        <is>
          <t>Empates</t>
        </is>
      </c>
      <c r="S49" s="7" t="inlineStr">
        <is>
          <t>Derrotas</t>
        </is>
      </c>
      <c r="T49" s="5" t="inlineStr">
        <is>
          <t>Victorias_L</t>
        </is>
      </c>
      <c r="U49" s="5" t="inlineStr">
        <is>
          <t>Victorias_V</t>
        </is>
      </c>
      <c r="V49" s="5" t="inlineStr">
        <is>
          <t>Empates_L</t>
        </is>
      </c>
      <c r="W49" s="5" t="inlineStr">
        <is>
          <t>Empates_V</t>
        </is>
      </c>
      <c r="X49" s="5" t="inlineStr">
        <is>
          <t>Derrotas_L</t>
        </is>
      </c>
      <c r="Y49" s="5" t="inlineStr">
        <is>
          <t>Derrotas_V</t>
        </is>
      </c>
      <c r="Z49" s="5" t="inlineStr">
        <is>
          <t>GF_L</t>
        </is>
      </c>
      <c r="AA49" s="5" t="inlineStr">
        <is>
          <t>GF_V</t>
        </is>
      </c>
      <c r="AB49" s="5" t="inlineStr">
        <is>
          <t>GC_L</t>
        </is>
      </c>
      <c r="AC49" s="5" t="inlineStr">
        <is>
          <t>GC_V</t>
        </is>
      </c>
    </row>
    <row r="50">
      <c r="A50" s="34" t="n">
        <v>49</v>
      </c>
      <c r="B50" s="34" t="inlineStr">
        <is>
          <t>I</t>
        </is>
      </c>
      <c r="C50" s="34" t="inlineStr">
        <is>
          <t>Francia</t>
        </is>
      </c>
      <c r="D50" s="34" t="inlineStr">
        <is>
          <t>Senegal</t>
        </is>
      </c>
      <c r="E50" s="3" t="n">
        <v>3</v>
      </c>
      <c r="F50" s="3" t="n">
        <v>1</v>
      </c>
      <c r="G50" s="34">
        <f>IF(E50&gt;F50,"Local",IF(E50=F50,"Empate","Visitante"))</f>
        <v/>
      </c>
      <c r="H50" s="1">
        <f>E50-F50</f>
        <v/>
      </c>
      <c r="J50" s="34" t="inlineStr">
        <is>
          <t>I</t>
        </is>
      </c>
      <c r="K50" s="8" t="n">
        <v>1</v>
      </c>
      <c r="L50" s="34" t="inlineStr">
        <is>
          <t>Francia</t>
        </is>
      </c>
      <c r="M50" s="3">
        <f>(Q50*3)+R50</f>
        <v/>
      </c>
      <c r="N50" s="3">
        <f>O50-P50</f>
        <v/>
      </c>
      <c r="O50" s="3">
        <f>Z50+AA50</f>
        <v/>
      </c>
      <c r="P50" s="3">
        <f>AB50+AC50</f>
        <v/>
      </c>
      <c r="Q50" s="34">
        <f>T50+U50</f>
        <v/>
      </c>
      <c r="R50" s="34">
        <f>V50+W50</f>
        <v/>
      </c>
      <c r="S50" s="9">
        <f>X50+Y50</f>
        <v/>
      </c>
      <c r="T50" s="34">
        <f>COUNTIFS(C:C,L50,G:G,"Local")</f>
        <v/>
      </c>
      <c r="U50" s="34">
        <f>COUNTIFS(D:D,L50,G:G,"Visitante")</f>
        <v/>
      </c>
      <c r="V50" s="34">
        <f>COUNTIFS(C:C,L50,G:G,"Empate")</f>
        <v/>
      </c>
      <c r="W50" s="34">
        <f>COUNTIFS(D:D,L50,G:G,"Empate")</f>
        <v/>
      </c>
      <c r="X50" s="34">
        <f>COUNTIFS(C:C,L50,G:G,"Visitante")</f>
        <v/>
      </c>
      <c r="Y50" s="34">
        <f>COUNTIFS(D:D,L50,G:G,"Local")</f>
        <v/>
      </c>
      <c r="Z50" s="34">
        <f>SUMIF(C:C,L50,E:E)</f>
        <v/>
      </c>
      <c r="AA50" s="34">
        <f>SUMIF(D:D,L50,F:F)</f>
        <v/>
      </c>
      <c r="AB50" s="34">
        <f>SUMIF(C:C,L50,F:F)</f>
        <v/>
      </c>
      <c r="AC50" s="34">
        <f>SUMIF(D:D,L50,E:E)</f>
        <v/>
      </c>
    </row>
    <row r="51">
      <c r="A51" s="34" t="n">
        <v>50</v>
      </c>
      <c r="B51" s="34" t="inlineStr">
        <is>
          <t>I</t>
        </is>
      </c>
      <c r="C51" s="34" t="inlineStr">
        <is>
          <t>Irak</t>
        </is>
      </c>
      <c r="D51" s="34" t="inlineStr">
        <is>
          <t>Noruega</t>
        </is>
      </c>
      <c r="E51" s="3" t="n">
        <v>0</v>
      </c>
      <c r="F51" s="3" t="n">
        <v>3</v>
      </c>
      <c r="G51" s="34">
        <f>IF(E51&gt;F51,"Local",IF(E51=F51,"Empate","Visitante"))</f>
        <v/>
      </c>
      <c r="H51" s="1">
        <f>E51-F51</f>
        <v/>
      </c>
      <c r="J51" s="32" t="n"/>
      <c r="K51" s="8" t="n">
        <v>2</v>
      </c>
      <c r="L51" s="34" t="inlineStr">
        <is>
          <t>Noruega</t>
        </is>
      </c>
      <c r="M51" s="3">
        <f>(Q51*3)+R51</f>
        <v/>
      </c>
      <c r="N51" s="3">
        <f>O51-P51</f>
        <v/>
      </c>
      <c r="O51" s="3">
        <f>Z51+AA51</f>
        <v/>
      </c>
      <c r="P51" s="3">
        <f>AB51+AC51</f>
        <v/>
      </c>
      <c r="Q51" s="34">
        <f>T51+U51</f>
        <v/>
      </c>
      <c r="R51" s="34">
        <f>V51+W51</f>
        <v/>
      </c>
      <c r="S51" s="9">
        <f>X51+Y51</f>
        <v/>
      </c>
      <c r="T51" s="34">
        <f>COUNTIFS(C:C,L51,G:G,"Local")</f>
        <v/>
      </c>
      <c r="U51" s="34">
        <f>COUNTIFS(D:D,L51,G:G,"Visitante")</f>
        <v/>
      </c>
      <c r="V51" s="34">
        <f>COUNTIFS(C:C,L51,G:G,"Empate")</f>
        <v/>
      </c>
      <c r="W51" s="34">
        <f>COUNTIFS(D:D,L51,G:G,"Empate")</f>
        <v/>
      </c>
      <c r="X51" s="34">
        <f>COUNTIFS(C:C,L51,G:G,"Visitante")</f>
        <v/>
      </c>
      <c r="Y51" s="34">
        <f>COUNTIFS(D:D,L51,G:G,"Local")</f>
        <v/>
      </c>
      <c r="Z51" s="34">
        <f>SUMIF(C:C,L51,E:E)</f>
        <v/>
      </c>
      <c r="AA51" s="34">
        <f>SUMIF(D:D,L51,F:F)</f>
        <v/>
      </c>
      <c r="AB51" s="34">
        <f>SUMIF(C:C,L51,F:F)</f>
        <v/>
      </c>
      <c r="AC51" s="34">
        <f>SUMIF(D:D,L51,E:E)</f>
        <v/>
      </c>
    </row>
    <row r="52">
      <c r="A52" s="34" t="n">
        <v>51</v>
      </c>
      <c r="B52" s="34" t="inlineStr">
        <is>
          <t>I</t>
        </is>
      </c>
      <c r="C52" s="34" t="inlineStr">
        <is>
          <t>Francia</t>
        </is>
      </c>
      <c r="D52" s="34" t="inlineStr">
        <is>
          <t>Irak</t>
        </is>
      </c>
      <c r="E52" s="3" t="n">
        <v>4</v>
      </c>
      <c r="F52" s="3" t="n">
        <v>0</v>
      </c>
      <c r="G52" s="34">
        <f>IF(E52&gt;F52,"Local",IF(E52=F52,"Empate","Visitante"))</f>
        <v/>
      </c>
      <c r="H52" s="1">
        <f>E52-F52</f>
        <v/>
      </c>
      <c r="J52" s="32" t="n"/>
      <c r="K52" s="8" t="n">
        <v>3</v>
      </c>
      <c r="L52" s="34" t="inlineStr">
        <is>
          <t>Senegal</t>
        </is>
      </c>
      <c r="M52" s="3">
        <f>(Q52*3)+R52</f>
        <v/>
      </c>
      <c r="N52" s="3">
        <f>O52-P52</f>
        <v/>
      </c>
      <c r="O52" s="3">
        <f>Z52+AA52</f>
        <v/>
      </c>
      <c r="P52" s="3">
        <f>AB52+AC52</f>
        <v/>
      </c>
      <c r="Q52" s="34">
        <f>T52+U52</f>
        <v/>
      </c>
      <c r="R52" s="34">
        <f>V52+W52</f>
        <v/>
      </c>
      <c r="S52" s="9">
        <f>X52+Y52</f>
        <v/>
      </c>
      <c r="T52" s="34">
        <f>COUNTIFS(C:C,L52,G:G,"Local")</f>
        <v/>
      </c>
      <c r="U52" s="34">
        <f>COUNTIFS(D:D,L52,G:G,"Visitante")</f>
        <v/>
      </c>
      <c r="V52" s="34">
        <f>COUNTIFS(C:C,L52,G:G,"Empate")</f>
        <v/>
      </c>
      <c r="W52" s="34">
        <f>COUNTIFS(D:D,L52,G:G,"Empate")</f>
        <v/>
      </c>
      <c r="X52" s="34">
        <f>COUNTIFS(C:C,L52,G:G,"Visitante")</f>
        <v/>
      </c>
      <c r="Y52" s="34">
        <f>COUNTIFS(D:D,L52,G:G,"Local")</f>
        <v/>
      </c>
      <c r="Z52" s="34">
        <f>SUMIF(C:C,L52,E:E)</f>
        <v/>
      </c>
      <c r="AA52" s="34">
        <f>SUMIF(D:D,L52,F:F)</f>
        <v/>
      </c>
      <c r="AB52" s="34">
        <f>SUMIF(C:C,L52,F:F)</f>
        <v/>
      </c>
      <c r="AC52" s="34">
        <f>SUMIF(D:D,L52,E:E)</f>
        <v/>
      </c>
    </row>
    <row r="53">
      <c r="A53" s="34" t="n">
        <v>52</v>
      </c>
      <c r="B53" s="34" t="inlineStr">
        <is>
          <t>I</t>
        </is>
      </c>
      <c r="C53" s="34" t="inlineStr">
        <is>
          <t>Noruega</t>
        </is>
      </c>
      <c r="D53" s="34" t="inlineStr">
        <is>
          <t>Senegal</t>
        </is>
      </c>
      <c r="E53" s="3" t="n">
        <v>2</v>
      </c>
      <c r="F53" s="3" t="n">
        <v>1</v>
      </c>
      <c r="G53" s="34">
        <f>IF(E53&gt;F53,"Local",IF(E53=F53,"Empate","Visitante"))</f>
        <v/>
      </c>
      <c r="H53" s="1">
        <f>E53-F53</f>
        <v/>
      </c>
      <c r="J53" s="33" t="n"/>
      <c r="K53" s="10" t="n">
        <v>4</v>
      </c>
      <c r="L53" s="4" t="inlineStr">
        <is>
          <t>Irak</t>
        </is>
      </c>
      <c r="M53" s="11">
        <f>(Q53*3)+R53</f>
        <v/>
      </c>
      <c r="N53" s="11">
        <f>O53-P53</f>
        <v/>
      </c>
      <c r="O53" s="11">
        <f>Z53+AA53</f>
        <v/>
      </c>
      <c r="P53" s="11">
        <f>AB53+AC53</f>
        <v/>
      </c>
      <c r="Q53" s="4">
        <f>T53+U53</f>
        <v/>
      </c>
      <c r="R53" s="4">
        <f>V53+W53</f>
        <v/>
      </c>
      <c r="S53" s="12">
        <f>X53+Y53</f>
        <v/>
      </c>
      <c r="T53" s="34">
        <f>COUNTIFS(C:C,L53,G:G,"Local")</f>
        <v/>
      </c>
      <c r="U53" s="34">
        <f>COUNTIFS(D:D,L53,G:G,"Visitante")</f>
        <v/>
      </c>
      <c r="V53" s="34">
        <f>COUNTIFS(C:C,L53,G:G,"Empate")</f>
        <v/>
      </c>
      <c r="W53" s="34">
        <f>COUNTIFS(D:D,L53,G:G,"Empate")</f>
        <v/>
      </c>
      <c r="X53" s="34">
        <f>COUNTIFS(C:C,L53,G:G,"Visitante")</f>
        <v/>
      </c>
      <c r="Y53" s="34">
        <f>COUNTIFS(D:D,L53,G:G,"Local")</f>
        <v/>
      </c>
      <c r="Z53" s="34">
        <f>SUMIF(C:C,L53,E:E)</f>
        <v/>
      </c>
      <c r="AA53" s="34">
        <f>SUMIF(D:D,L53,F:F)</f>
        <v/>
      </c>
      <c r="AB53" s="34">
        <f>SUMIF(C:C,L53,F:F)</f>
        <v/>
      </c>
      <c r="AC53" s="34">
        <f>SUMIF(D:D,L53,E:E)</f>
        <v/>
      </c>
    </row>
    <row r="54">
      <c r="A54" s="34" t="n">
        <v>53</v>
      </c>
      <c r="B54" s="34" t="inlineStr">
        <is>
          <t>I</t>
        </is>
      </c>
      <c r="C54" s="34" t="inlineStr">
        <is>
          <t>Noruega</t>
        </is>
      </c>
      <c r="D54" s="34" t="inlineStr">
        <is>
          <t>Francia</t>
        </is>
      </c>
      <c r="E54" s="3" t="n">
        <v>2</v>
      </c>
      <c r="F54" s="3" t="n">
        <v>2</v>
      </c>
      <c r="G54" s="34">
        <f>IF(E54&gt;F54,"Local",IF(E54=F54,"Empate","Visitante"))</f>
        <v/>
      </c>
      <c r="H54" s="1">
        <f>E54-F54</f>
        <v/>
      </c>
    </row>
    <row r="55">
      <c r="A55" s="34" t="n">
        <v>54</v>
      </c>
      <c r="B55" s="34" t="inlineStr">
        <is>
          <t>I</t>
        </is>
      </c>
      <c r="C55" s="34" t="inlineStr">
        <is>
          <t>Senegal</t>
        </is>
      </c>
      <c r="D55" s="34" t="inlineStr">
        <is>
          <t>Irak</t>
        </is>
      </c>
      <c r="E55" s="3" t="n">
        <v>2</v>
      </c>
      <c r="F55" s="3" t="n">
        <v>1</v>
      </c>
      <c r="G55" s="34">
        <f>IF(E55&gt;F55,"Local",IF(E55=F55,"Empate","Visitante"))</f>
        <v/>
      </c>
      <c r="H55" s="1">
        <f>E55-F55</f>
        <v/>
      </c>
      <c r="J55" s="6" t="inlineStr">
        <is>
          <t>Grupo</t>
        </is>
      </c>
      <c r="K55" s="7" t="inlineStr">
        <is>
          <t>Posición</t>
        </is>
      </c>
      <c r="L55" s="34" t="inlineStr">
        <is>
          <t>Equipo</t>
        </is>
      </c>
      <c r="M55" s="34" t="inlineStr">
        <is>
          <t>Puntos</t>
        </is>
      </c>
      <c r="N55" s="34" t="inlineStr">
        <is>
          <t>Diferencia</t>
        </is>
      </c>
      <c r="O55" s="34" t="inlineStr">
        <is>
          <t>GF</t>
        </is>
      </c>
      <c r="P55" s="5" t="inlineStr">
        <is>
          <t>GC</t>
        </is>
      </c>
      <c r="Q55" s="5" t="inlineStr">
        <is>
          <t>Victorias</t>
        </is>
      </c>
      <c r="R55" s="5" t="inlineStr">
        <is>
          <t>Empates</t>
        </is>
      </c>
      <c r="S55" s="7" t="inlineStr">
        <is>
          <t>Derrotas</t>
        </is>
      </c>
      <c r="T55" s="5" t="inlineStr">
        <is>
          <t>Victorias_L</t>
        </is>
      </c>
      <c r="U55" s="5" t="inlineStr">
        <is>
          <t>Victorias_V</t>
        </is>
      </c>
      <c r="V55" s="5" t="inlineStr">
        <is>
          <t>Empates_L</t>
        </is>
      </c>
      <c r="W55" s="5" t="inlineStr">
        <is>
          <t>Empates_V</t>
        </is>
      </c>
      <c r="X55" s="5" t="inlineStr">
        <is>
          <t>Derrotas_L</t>
        </is>
      </c>
      <c r="Y55" s="5" t="inlineStr">
        <is>
          <t>Derrotas_V</t>
        </is>
      </c>
      <c r="Z55" s="5" t="inlineStr">
        <is>
          <t>GF_L</t>
        </is>
      </c>
      <c r="AA55" s="5" t="inlineStr">
        <is>
          <t>GF_V</t>
        </is>
      </c>
      <c r="AB55" s="5" t="inlineStr">
        <is>
          <t>GC_L</t>
        </is>
      </c>
      <c r="AC55" s="5" t="inlineStr">
        <is>
          <t>GC_V</t>
        </is>
      </c>
    </row>
    <row r="56">
      <c r="A56" s="34" t="n">
        <v>55</v>
      </c>
      <c r="B56" s="34" t="inlineStr">
        <is>
          <t>J</t>
        </is>
      </c>
      <c r="C56" s="34" t="inlineStr">
        <is>
          <t>Argentina</t>
        </is>
      </c>
      <c r="D56" s="34" t="inlineStr">
        <is>
          <t>Argelia</t>
        </is>
      </c>
      <c r="E56" s="3" t="n">
        <v>2</v>
      </c>
      <c r="F56" s="3" t="n">
        <v>0</v>
      </c>
      <c r="G56" s="34">
        <f>IF(E56&gt;F56,"Local",IF(E56=F56,"Empate","Visitante"))</f>
        <v/>
      </c>
      <c r="H56" s="1">
        <f>E56-F56</f>
        <v/>
      </c>
      <c r="J56" s="34" t="inlineStr">
        <is>
          <t>J</t>
        </is>
      </c>
      <c r="K56" s="8" t="n">
        <v>1</v>
      </c>
      <c r="L56" s="34" t="inlineStr">
        <is>
          <t>Argentina</t>
        </is>
      </c>
      <c r="M56" s="3">
        <f>(Q56*3)+R56</f>
        <v/>
      </c>
      <c r="N56" s="3">
        <f>O56-P56</f>
        <v/>
      </c>
      <c r="O56" s="3">
        <f>Z56+AA56</f>
        <v/>
      </c>
      <c r="P56" s="3">
        <f>AB56+AC56</f>
        <v/>
      </c>
      <c r="Q56" s="34">
        <f>T56+U56</f>
        <v/>
      </c>
      <c r="R56" s="34">
        <f>V56+W56</f>
        <v/>
      </c>
      <c r="S56" s="9">
        <f>X56+Y56</f>
        <v/>
      </c>
      <c r="T56" s="34">
        <f>COUNTIFS(C:C,L56,G:G,"Local")</f>
        <v/>
      </c>
      <c r="U56" s="34">
        <f>COUNTIFS(D:D,L56,G:G,"Visitante")</f>
        <v/>
      </c>
      <c r="V56" s="34">
        <f>COUNTIFS(C:C,L56,G:G,"Empate")</f>
        <v/>
      </c>
      <c r="W56" s="34">
        <f>COUNTIFS(D:D,L56,G:G,"Empate")</f>
        <v/>
      </c>
      <c r="X56" s="34">
        <f>COUNTIFS(C:C,L56,G:G,"Visitante")</f>
        <v/>
      </c>
      <c r="Y56" s="34">
        <f>COUNTIFS(D:D,L56,G:G,"Local")</f>
        <v/>
      </c>
      <c r="Z56" s="34">
        <f>SUMIF(C:C,L56,E:E)</f>
        <v/>
      </c>
      <c r="AA56" s="34">
        <f>SUMIF(D:D,L56,F:F)</f>
        <v/>
      </c>
      <c r="AB56" s="34">
        <f>SUMIF(C:C,L56,F:F)</f>
        <v/>
      </c>
      <c r="AC56" s="34">
        <f>SUMIF(D:D,L56,E:E)</f>
        <v/>
      </c>
    </row>
    <row r="57">
      <c r="A57" s="34" t="n">
        <v>56</v>
      </c>
      <c r="B57" s="34" t="inlineStr">
        <is>
          <t>J</t>
        </is>
      </c>
      <c r="C57" s="34" t="inlineStr">
        <is>
          <t>Austria</t>
        </is>
      </c>
      <c r="D57" s="34" t="inlineStr">
        <is>
          <t>Jordania</t>
        </is>
      </c>
      <c r="E57" s="3" t="n">
        <v>1</v>
      </c>
      <c r="F57" s="3" t="n">
        <v>0</v>
      </c>
      <c r="G57" s="34">
        <f>IF(E57&gt;F57,"Local",IF(E57=F57,"Empate","Visitante"))</f>
        <v/>
      </c>
      <c r="H57" s="1">
        <f>E57-F57</f>
        <v/>
      </c>
      <c r="J57" s="32" t="n"/>
      <c r="K57" s="8" t="n">
        <v>2</v>
      </c>
      <c r="L57" s="34" t="inlineStr">
        <is>
          <t>Argelia</t>
        </is>
      </c>
      <c r="M57" s="3">
        <f>(Q57*3)+R57</f>
        <v/>
      </c>
      <c r="N57" s="3">
        <f>O57-P57</f>
        <v/>
      </c>
      <c r="O57" s="3">
        <f>Z57+AA57</f>
        <v/>
      </c>
      <c r="P57" s="3">
        <f>AB57+AC57</f>
        <v/>
      </c>
      <c r="Q57" s="34">
        <f>T57+U57</f>
        <v/>
      </c>
      <c r="R57" s="34">
        <f>V57+W57</f>
        <v/>
      </c>
      <c r="S57" s="9">
        <f>X57+Y57</f>
        <v/>
      </c>
      <c r="T57" s="34">
        <f>COUNTIFS(C:C,L57,G:G,"Local")</f>
        <v/>
      </c>
      <c r="U57" s="34">
        <f>COUNTIFS(D:D,L57,G:G,"Visitante")</f>
        <v/>
      </c>
      <c r="V57" s="34">
        <f>COUNTIFS(C:C,L57,G:G,"Empate")</f>
        <v/>
      </c>
      <c r="W57" s="34">
        <f>COUNTIFS(D:D,L57,G:G,"Empate")</f>
        <v/>
      </c>
      <c r="X57" s="34">
        <f>COUNTIFS(C:C,L57,G:G,"Visitante")</f>
        <v/>
      </c>
      <c r="Y57" s="34">
        <f>COUNTIFS(D:D,L57,G:G,"Local")</f>
        <v/>
      </c>
      <c r="Z57" s="34">
        <f>SUMIF(C:C,L57,E:E)</f>
        <v/>
      </c>
      <c r="AA57" s="34">
        <f>SUMIF(D:D,L57,F:F)</f>
        <v/>
      </c>
      <c r="AB57" s="34">
        <f>SUMIF(C:C,L57,F:F)</f>
        <v/>
      </c>
      <c r="AC57" s="34">
        <f>SUMIF(D:D,L57,E:E)</f>
        <v/>
      </c>
    </row>
    <row r="58">
      <c r="A58" s="34" t="n">
        <v>57</v>
      </c>
      <c r="B58" s="34" t="inlineStr">
        <is>
          <t>J</t>
        </is>
      </c>
      <c r="C58" s="34" t="inlineStr">
        <is>
          <t>Argentina</t>
        </is>
      </c>
      <c r="D58" s="34" t="inlineStr">
        <is>
          <t>Austria</t>
        </is>
      </c>
      <c r="E58" s="3" t="n">
        <v>2</v>
      </c>
      <c r="F58" s="3" t="n">
        <v>1</v>
      </c>
      <c r="G58" s="34">
        <f>IF(E58&gt;F58,"Local",IF(E58=F58,"Empate","Visitante"))</f>
        <v/>
      </c>
      <c r="H58" s="1">
        <f>E58-F58</f>
        <v/>
      </c>
      <c r="J58" s="32" t="n"/>
      <c r="K58" s="8" t="n">
        <v>3</v>
      </c>
      <c r="L58" s="34" t="inlineStr">
        <is>
          <t>Austria</t>
        </is>
      </c>
      <c r="M58" s="3">
        <f>(Q58*3)+R58</f>
        <v/>
      </c>
      <c r="N58" s="3">
        <f>O58-P58</f>
        <v/>
      </c>
      <c r="O58" s="3">
        <f>Z58+AA58</f>
        <v/>
      </c>
      <c r="P58" s="3">
        <f>AB58+AC58</f>
        <v/>
      </c>
      <c r="Q58" s="34">
        <f>T58+U58</f>
        <v/>
      </c>
      <c r="R58" s="34">
        <f>V58+W58</f>
        <v/>
      </c>
      <c r="S58" s="9">
        <f>X58+Y58</f>
        <v/>
      </c>
      <c r="T58" s="34">
        <f>COUNTIFS(C:C,L58,G:G,"Local")</f>
        <v/>
      </c>
      <c r="U58" s="34">
        <f>COUNTIFS(D:D,L58,G:G,"Visitante")</f>
        <v/>
      </c>
      <c r="V58" s="34">
        <f>COUNTIFS(C:C,L58,G:G,"Empate")</f>
        <v/>
      </c>
      <c r="W58" s="34">
        <f>COUNTIFS(D:D,L58,G:G,"Empate")</f>
        <v/>
      </c>
      <c r="X58" s="34">
        <f>COUNTIFS(C:C,L58,G:G,"Visitante")</f>
        <v/>
      </c>
      <c r="Y58" s="34">
        <f>COUNTIFS(D:D,L58,G:G,"Local")</f>
        <v/>
      </c>
      <c r="Z58" s="34">
        <f>SUMIF(C:C,L58,E:E)</f>
        <v/>
      </c>
      <c r="AA58" s="34">
        <f>SUMIF(D:D,L58,F:F)</f>
        <v/>
      </c>
      <c r="AB58" s="34">
        <f>SUMIF(C:C,L58,F:F)</f>
        <v/>
      </c>
      <c r="AC58" s="34">
        <f>SUMIF(D:D,L58,E:E)</f>
        <v/>
      </c>
    </row>
    <row r="59">
      <c r="A59" s="34" t="n">
        <v>58</v>
      </c>
      <c r="B59" s="34" t="inlineStr">
        <is>
          <t>J</t>
        </is>
      </c>
      <c r="C59" s="34" t="inlineStr">
        <is>
          <t>Jordania</t>
        </is>
      </c>
      <c r="D59" s="34" t="inlineStr">
        <is>
          <t>Argelia</t>
        </is>
      </c>
      <c r="E59" s="3" t="n">
        <v>1</v>
      </c>
      <c r="F59" s="3" t="n">
        <v>3</v>
      </c>
      <c r="G59" s="34">
        <f>IF(E59&gt;F59,"Local",IF(E59=F59,"Empate","Visitante"))</f>
        <v/>
      </c>
      <c r="H59" s="1">
        <f>E59-F59</f>
        <v/>
      </c>
      <c r="J59" s="33" t="n"/>
      <c r="K59" s="10" t="n">
        <v>4</v>
      </c>
      <c r="L59" s="4" t="inlineStr">
        <is>
          <t>Jordania</t>
        </is>
      </c>
      <c r="M59" s="11">
        <f>(Q59*3)+R59</f>
        <v/>
      </c>
      <c r="N59" s="11">
        <f>O59-P59</f>
        <v/>
      </c>
      <c r="O59" s="11">
        <f>Z59+AA59</f>
        <v/>
      </c>
      <c r="P59" s="11">
        <f>AB59+AC59</f>
        <v/>
      </c>
      <c r="Q59" s="4">
        <f>T59+U59</f>
        <v/>
      </c>
      <c r="R59" s="4">
        <f>V59+W59</f>
        <v/>
      </c>
      <c r="S59" s="12">
        <f>X59+Y59</f>
        <v/>
      </c>
      <c r="T59" s="34">
        <f>COUNTIFS(C:C,L59,G:G,"Local")</f>
        <v/>
      </c>
      <c r="U59" s="34">
        <f>COUNTIFS(D:D,L59,G:G,"Visitante")</f>
        <v/>
      </c>
      <c r="V59" s="34">
        <f>COUNTIFS(C:C,L59,G:G,"Empate")</f>
        <v/>
      </c>
      <c r="W59" s="34">
        <f>COUNTIFS(D:D,L59,G:G,"Empate")</f>
        <v/>
      </c>
      <c r="X59" s="34">
        <f>COUNTIFS(C:C,L59,G:G,"Visitante")</f>
        <v/>
      </c>
      <c r="Y59" s="34">
        <f>COUNTIFS(D:D,L59,G:G,"Local")</f>
        <v/>
      </c>
      <c r="Z59" s="34">
        <f>SUMIF(C:C,L59,E:E)</f>
        <v/>
      </c>
      <c r="AA59" s="34">
        <f>SUMIF(D:D,L59,F:F)</f>
        <v/>
      </c>
      <c r="AB59" s="34">
        <f>SUMIF(C:C,L59,F:F)</f>
        <v/>
      </c>
      <c r="AC59" s="34">
        <f>SUMIF(D:D,L59,E:E)</f>
        <v/>
      </c>
    </row>
    <row r="60">
      <c r="A60" s="34" t="n">
        <v>59</v>
      </c>
      <c r="B60" s="34" t="inlineStr">
        <is>
          <t>J</t>
        </is>
      </c>
      <c r="C60" s="34" t="inlineStr">
        <is>
          <t>Argelia</t>
        </is>
      </c>
      <c r="D60" s="34" t="inlineStr">
        <is>
          <t>Austria</t>
        </is>
      </c>
      <c r="E60" s="3" t="n">
        <v>2</v>
      </c>
      <c r="F60" s="3" t="n">
        <v>2</v>
      </c>
      <c r="G60" s="34">
        <f>IF(E60&gt;F60,"Local",IF(E60=F60,"Empate","Visitante"))</f>
        <v/>
      </c>
      <c r="H60" s="1">
        <f>E60-F60</f>
        <v/>
      </c>
    </row>
    <row r="61">
      <c r="A61" s="34" t="n">
        <v>60</v>
      </c>
      <c r="B61" s="34" t="inlineStr">
        <is>
          <t>J</t>
        </is>
      </c>
      <c r="C61" s="34" t="inlineStr">
        <is>
          <t>Jordania</t>
        </is>
      </c>
      <c r="D61" s="34" t="inlineStr">
        <is>
          <t>Argentina</t>
        </is>
      </c>
      <c r="E61" s="3" t="n">
        <v>0</v>
      </c>
      <c r="F61" s="3" t="n">
        <v>2</v>
      </c>
      <c r="G61" s="34">
        <f>IF(E61&gt;F61,"Local",IF(E61=F61,"Empate","Visitante"))</f>
        <v/>
      </c>
      <c r="H61" s="1">
        <f>E61-F61</f>
        <v/>
      </c>
      <c r="J61" s="6" t="inlineStr">
        <is>
          <t>Grupo</t>
        </is>
      </c>
      <c r="K61" s="7" t="inlineStr">
        <is>
          <t>Posición</t>
        </is>
      </c>
      <c r="L61" s="34" t="inlineStr">
        <is>
          <t>Equipo</t>
        </is>
      </c>
      <c r="M61" s="34" t="inlineStr">
        <is>
          <t>Puntos</t>
        </is>
      </c>
      <c r="N61" s="34" t="inlineStr">
        <is>
          <t>Diferencia</t>
        </is>
      </c>
      <c r="O61" s="34" t="inlineStr">
        <is>
          <t>GF</t>
        </is>
      </c>
      <c r="P61" s="5" t="inlineStr">
        <is>
          <t>GC</t>
        </is>
      </c>
      <c r="Q61" s="5" t="inlineStr">
        <is>
          <t>Victorias</t>
        </is>
      </c>
      <c r="R61" s="5" t="inlineStr">
        <is>
          <t>Empates</t>
        </is>
      </c>
      <c r="S61" s="7" t="inlineStr">
        <is>
          <t>Derrotas</t>
        </is>
      </c>
      <c r="T61" s="5" t="inlineStr">
        <is>
          <t>Victorias_L</t>
        </is>
      </c>
      <c r="U61" s="5" t="inlineStr">
        <is>
          <t>Victorias_V</t>
        </is>
      </c>
      <c r="V61" s="5" t="inlineStr">
        <is>
          <t>Empates_L</t>
        </is>
      </c>
      <c r="W61" s="5" t="inlineStr">
        <is>
          <t>Empates_V</t>
        </is>
      </c>
      <c r="X61" s="5" t="inlineStr">
        <is>
          <t>Derrotas_L</t>
        </is>
      </c>
      <c r="Y61" s="5" t="inlineStr">
        <is>
          <t>Derrotas_V</t>
        </is>
      </c>
      <c r="Z61" s="5" t="inlineStr">
        <is>
          <t>GF_L</t>
        </is>
      </c>
      <c r="AA61" s="5" t="inlineStr">
        <is>
          <t>GF_V</t>
        </is>
      </c>
      <c r="AB61" s="5" t="inlineStr">
        <is>
          <t>GC_L</t>
        </is>
      </c>
      <c r="AC61" s="5" t="inlineStr">
        <is>
          <t>GC_V</t>
        </is>
      </c>
    </row>
    <row r="62">
      <c r="A62" s="34" t="n">
        <v>61</v>
      </c>
      <c r="B62" s="34" t="inlineStr">
        <is>
          <t>K</t>
        </is>
      </c>
      <c r="C62" s="34" t="inlineStr">
        <is>
          <t>Portugal</t>
        </is>
      </c>
      <c r="D62" s="34" t="inlineStr">
        <is>
          <t>RD Congo</t>
        </is>
      </c>
      <c r="E62" s="3" t="n">
        <v>3</v>
      </c>
      <c r="F62" s="3" t="n">
        <v>0</v>
      </c>
      <c r="G62" s="34">
        <f>IF(E62&gt;F62,"Local",IF(E62=F62,"Empate","Visitante"))</f>
        <v/>
      </c>
      <c r="H62" s="1">
        <f>E62-F62</f>
        <v/>
      </c>
      <c r="J62" s="34" t="inlineStr">
        <is>
          <t>K</t>
        </is>
      </c>
      <c r="K62" s="8" t="n">
        <v>1</v>
      </c>
      <c r="L62" s="34" t="inlineStr">
        <is>
          <t>Portugal</t>
        </is>
      </c>
      <c r="M62" s="3">
        <f>(Q62*3)+R62</f>
        <v/>
      </c>
      <c r="N62" s="3">
        <f>O62-P62</f>
        <v/>
      </c>
      <c r="O62" s="3">
        <f>Z62+AA62</f>
        <v/>
      </c>
      <c r="P62" s="3">
        <f>AB62+AC62</f>
        <v/>
      </c>
      <c r="Q62" s="34">
        <f>T62+U62</f>
        <v/>
      </c>
      <c r="R62" s="34">
        <f>V62+W62</f>
        <v/>
      </c>
      <c r="S62" s="9">
        <f>X62+Y62</f>
        <v/>
      </c>
      <c r="T62" s="34">
        <f>COUNTIFS(C:C,L62,G:G,"Local")</f>
        <v/>
      </c>
      <c r="U62" s="34">
        <f>COUNTIFS(D:D,L62,G:G,"Visitante")</f>
        <v/>
      </c>
      <c r="V62" s="34">
        <f>COUNTIFS(C:C,L62,G:G,"Empate")</f>
        <v/>
      </c>
      <c r="W62" s="34">
        <f>COUNTIFS(D:D,L62,G:G,"Empate")</f>
        <v/>
      </c>
      <c r="X62" s="34">
        <f>COUNTIFS(C:C,L62,G:G,"Visitante")</f>
        <v/>
      </c>
      <c r="Y62" s="34">
        <f>COUNTIFS(D:D,L62,G:G,"Local")</f>
        <v/>
      </c>
      <c r="Z62" s="34">
        <f>SUMIF(C:C,L62,E:E)</f>
        <v/>
      </c>
      <c r="AA62" s="34">
        <f>SUMIF(D:D,L62,F:F)</f>
        <v/>
      </c>
      <c r="AB62" s="34">
        <f>SUMIF(C:C,L62,F:F)</f>
        <v/>
      </c>
      <c r="AC62" s="34">
        <f>SUMIF(D:D,L62,E:E)</f>
        <v/>
      </c>
    </row>
    <row r="63">
      <c r="A63" s="34" t="n">
        <v>62</v>
      </c>
      <c r="B63" s="34" t="inlineStr">
        <is>
          <t>K</t>
        </is>
      </c>
      <c r="C63" s="34" t="inlineStr">
        <is>
          <t>Uzbekistán</t>
        </is>
      </c>
      <c r="D63" s="34" t="inlineStr">
        <is>
          <t>Colombia</t>
        </is>
      </c>
      <c r="E63" s="3" t="n">
        <v>1</v>
      </c>
      <c r="F63" s="3" t="n">
        <v>2</v>
      </c>
      <c r="G63" s="34">
        <f>IF(E63&gt;F63,"Local",IF(E63=F63,"Empate","Visitante"))</f>
        <v/>
      </c>
      <c r="H63" s="1">
        <f>E63-F63</f>
        <v/>
      </c>
      <c r="J63" s="32" t="n"/>
      <c r="K63" s="8" t="n">
        <v>2</v>
      </c>
      <c r="L63" s="34" t="inlineStr">
        <is>
          <t>Colombia</t>
        </is>
      </c>
      <c r="M63" s="3">
        <f>(Q63*3)+R63</f>
        <v/>
      </c>
      <c r="N63" s="3">
        <f>O63-P63</f>
        <v/>
      </c>
      <c r="O63" s="3">
        <f>Z63+AA63</f>
        <v/>
      </c>
      <c r="P63" s="3">
        <f>AB63+AC63</f>
        <v/>
      </c>
      <c r="Q63" s="34">
        <f>T63+U63</f>
        <v/>
      </c>
      <c r="R63" s="34">
        <f>V63+W63</f>
        <v/>
      </c>
      <c r="S63" s="9">
        <f>X63+Y63</f>
        <v/>
      </c>
      <c r="T63" s="34">
        <f>COUNTIFS(C:C,L63,G:G,"Local")</f>
        <v/>
      </c>
      <c r="U63" s="34">
        <f>COUNTIFS(D:D,L63,G:G,"Visitante")</f>
        <v/>
      </c>
      <c r="V63" s="34">
        <f>COUNTIFS(C:C,L63,G:G,"Empate")</f>
        <v/>
      </c>
      <c r="W63" s="34">
        <f>COUNTIFS(D:D,L63,G:G,"Empate")</f>
        <v/>
      </c>
      <c r="X63" s="34">
        <f>COUNTIFS(C:C,L63,G:G,"Visitante")</f>
        <v/>
      </c>
      <c r="Y63" s="34">
        <f>COUNTIFS(D:D,L63,G:G,"Local")</f>
        <v/>
      </c>
      <c r="Z63" s="34">
        <f>SUMIF(C:C,L63,E:E)</f>
        <v/>
      </c>
      <c r="AA63" s="34">
        <f>SUMIF(D:D,L63,F:F)</f>
        <v/>
      </c>
      <c r="AB63" s="34">
        <f>SUMIF(C:C,L63,F:F)</f>
        <v/>
      </c>
      <c r="AC63" s="34">
        <f>SUMIF(D:D,L63,E:E)</f>
        <v/>
      </c>
    </row>
    <row r="64">
      <c r="A64" s="34" t="n">
        <v>63</v>
      </c>
      <c r="B64" s="34" t="inlineStr">
        <is>
          <t>K</t>
        </is>
      </c>
      <c r="C64" s="34" t="inlineStr">
        <is>
          <t>Portugal</t>
        </is>
      </c>
      <c r="D64" s="34" t="inlineStr">
        <is>
          <t>Uzbekistán</t>
        </is>
      </c>
      <c r="E64" s="3" t="n">
        <v>2</v>
      </c>
      <c r="F64" s="3" t="n">
        <v>0</v>
      </c>
      <c r="G64" s="34">
        <f>IF(E64&gt;F64,"Local",IF(E64=F64,"Empate","Visitante"))</f>
        <v/>
      </c>
      <c r="H64" s="1">
        <f>E64-F64</f>
        <v/>
      </c>
      <c r="J64" s="32" t="n"/>
      <c r="K64" s="8" t="n">
        <v>3</v>
      </c>
      <c r="L64" s="34" t="inlineStr">
        <is>
          <t>RD Congo</t>
        </is>
      </c>
      <c r="M64" s="3">
        <f>(Q64*3)+R64</f>
        <v/>
      </c>
      <c r="N64" s="3">
        <f>O64-P64</f>
        <v/>
      </c>
      <c r="O64" s="3">
        <f>Z64+AA64</f>
        <v/>
      </c>
      <c r="P64" s="3">
        <f>AB64+AC64</f>
        <v/>
      </c>
      <c r="Q64" s="34">
        <f>T64+U64</f>
        <v/>
      </c>
      <c r="R64" s="34">
        <f>V64+W64</f>
        <v/>
      </c>
      <c r="S64" s="9">
        <f>X64+Y64</f>
        <v/>
      </c>
      <c r="T64" s="34">
        <f>COUNTIFS(C:C,L64,G:G,"Local")</f>
        <v/>
      </c>
      <c r="U64" s="34">
        <f>COUNTIFS(D:D,L64,G:G,"Visitante")</f>
        <v/>
      </c>
      <c r="V64" s="34">
        <f>COUNTIFS(C:C,L64,G:G,"Empate")</f>
        <v/>
      </c>
      <c r="W64" s="34">
        <f>COUNTIFS(D:D,L64,G:G,"Empate")</f>
        <v/>
      </c>
      <c r="X64" s="34">
        <f>COUNTIFS(C:C,L64,G:G,"Visitante")</f>
        <v/>
      </c>
      <c r="Y64" s="34">
        <f>COUNTIFS(D:D,L64,G:G,"Local")</f>
        <v/>
      </c>
      <c r="Z64" s="34">
        <f>SUMIF(C:C,L64,E:E)</f>
        <v/>
      </c>
      <c r="AA64" s="34">
        <f>SUMIF(D:D,L64,F:F)</f>
        <v/>
      </c>
      <c r="AB64" s="34">
        <f>SUMIF(C:C,L64,F:F)</f>
        <v/>
      </c>
      <c r="AC64" s="34">
        <f>SUMIF(D:D,L64,E:E)</f>
        <v/>
      </c>
    </row>
    <row r="65">
      <c r="A65" s="34" t="n">
        <v>64</v>
      </c>
      <c r="B65" s="34" t="inlineStr">
        <is>
          <t>K</t>
        </is>
      </c>
      <c r="C65" s="34" t="inlineStr">
        <is>
          <t>Colombia</t>
        </is>
      </c>
      <c r="D65" s="34" t="inlineStr">
        <is>
          <t>RD Congo</t>
        </is>
      </c>
      <c r="E65" s="3" t="n">
        <v>1</v>
      </c>
      <c r="F65" s="3" t="n">
        <v>0</v>
      </c>
      <c r="G65" s="34">
        <f>IF(E65&gt;F65,"Local",IF(E65=F65,"Empate","Visitante"))</f>
        <v/>
      </c>
      <c r="H65" s="1">
        <f>E65-F65</f>
        <v/>
      </c>
      <c r="J65" s="33" t="n"/>
      <c r="K65" s="10" t="n">
        <v>4</v>
      </c>
      <c r="L65" s="4" t="inlineStr">
        <is>
          <t>Uzbekistán</t>
        </is>
      </c>
      <c r="M65" s="11">
        <f>(Q65*3)+R65</f>
        <v/>
      </c>
      <c r="N65" s="11">
        <f>O65-P65</f>
        <v/>
      </c>
      <c r="O65" s="11">
        <f>Z65+AA65</f>
        <v/>
      </c>
      <c r="P65" s="11">
        <f>AB65+AC65</f>
        <v/>
      </c>
      <c r="Q65" s="4">
        <f>T65+U65</f>
        <v/>
      </c>
      <c r="R65" s="4">
        <f>V65+W65</f>
        <v/>
      </c>
      <c r="S65" s="12">
        <f>X65+Y65</f>
        <v/>
      </c>
      <c r="T65" s="34">
        <f>COUNTIFS(C:C,L65,G:G,"Local")</f>
        <v/>
      </c>
      <c r="U65" s="34">
        <f>COUNTIFS(D:D,L65,G:G,"Visitante")</f>
        <v/>
      </c>
      <c r="V65" s="34">
        <f>COUNTIFS(C:C,L65,G:G,"Empate")</f>
        <v/>
      </c>
      <c r="W65" s="34">
        <f>COUNTIFS(D:D,L65,G:G,"Empate")</f>
        <v/>
      </c>
      <c r="X65" s="34">
        <f>COUNTIFS(C:C,L65,G:G,"Visitante")</f>
        <v/>
      </c>
      <c r="Y65" s="34">
        <f>COUNTIFS(D:D,L65,G:G,"Local")</f>
        <v/>
      </c>
      <c r="Z65" s="34">
        <f>SUMIF(C:C,L65,E:E)</f>
        <v/>
      </c>
      <c r="AA65" s="34">
        <f>SUMIF(D:D,L65,F:F)</f>
        <v/>
      </c>
      <c r="AB65" s="34">
        <f>SUMIF(C:C,L65,F:F)</f>
        <v/>
      </c>
      <c r="AC65" s="34">
        <f>SUMIF(D:D,L65,E:E)</f>
        <v/>
      </c>
    </row>
    <row r="66">
      <c r="A66" s="34" t="n">
        <v>65</v>
      </c>
      <c r="B66" s="34" t="inlineStr">
        <is>
          <t>K</t>
        </is>
      </c>
      <c r="C66" s="34" t="inlineStr">
        <is>
          <t>Colombia</t>
        </is>
      </c>
      <c r="D66" s="34" t="inlineStr">
        <is>
          <t>Portugal</t>
        </is>
      </c>
      <c r="E66" s="3" t="n">
        <v>0</v>
      </c>
      <c r="F66" s="3" t="n">
        <v>2</v>
      </c>
      <c r="G66" s="34">
        <f>IF(E66&gt;F66,"Local",IF(E66=F66,"Empate","Visitante"))</f>
        <v/>
      </c>
      <c r="H66" s="1">
        <f>E66-F66</f>
        <v/>
      </c>
    </row>
    <row r="67">
      <c r="A67" s="34" t="n">
        <v>66</v>
      </c>
      <c r="B67" s="34" t="inlineStr">
        <is>
          <t>K</t>
        </is>
      </c>
      <c r="C67" s="34" t="inlineStr">
        <is>
          <t>RD Congo</t>
        </is>
      </c>
      <c r="D67" s="34" t="inlineStr">
        <is>
          <t>Uzbekistán</t>
        </is>
      </c>
      <c r="E67" s="3" t="n">
        <v>1</v>
      </c>
      <c r="F67" s="3" t="n">
        <v>0</v>
      </c>
      <c r="G67" s="34">
        <f>IF(E67&gt;F67,"Local",IF(E67=F67,"Empate","Visitante"))</f>
        <v/>
      </c>
      <c r="H67" s="1">
        <f>E67-F67</f>
        <v/>
      </c>
      <c r="J67" s="6" t="inlineStr">
        <is>
          <t>Grupo</t>
        </is>
      </c>
      <c r="K67" s="7" t="inlineStr">
        <is>
          <t>Posición</t>
        </is>
      </c>
      <c r="L67" s="34" t="inlineStr">
        <is>
          <t>Equipo</t>
        </is>
      </c>
      <c r="M67" s="34" t="inlineStr">
        <is>
          <t>Puntos</t>
        </is>
      </c>
      <c r="N67" s="34" t="inlineStr">
        <is>
          <t>Diferencia</t>
        </is>
      </c>
      <c r="O67" s="34" t="inlineStr">
        <is>
          <t>GF</t>
        </is>
      </c>
      <c r="P67" s="5" t="inlineStr">
        <is>
          <t>GC</t>
        </is>
      </c>
      <c r="Q67" s="5" t="inlineStr">
        <is>
          <t>Victorias</t>
        </is>
      </c>
      <c r="R67" s="5" t="inlineStr">
        <is>
          <t>Empates</t>
        </is>
      </c>
      <c r="S67" s="7" t="inlineStr">
        <is>
          <t>Derrotas</t>
        </is>
      </c>
      <c r="T67" s="5" t="inlineStr">
        <is>
          <t>Victorias_L</t>
        </is>
      </c>
      <c r="U67" s="5" t="inlineStr">
        <is>
          <t>Victorias_V</t>
        </is>
      </c>
      <c r="V67" s="5" t="inlineStr">
        <is>
          <t>Empates_L</t>
        </is>
      </c>
      <c r="W67" s="5" t="inlineStr">
        <is>
          <t>Empates_V</t>
        </is>
      </c>
      <c r="X67" s="5" t="inlineStr">
        <is>
          <t>Derrotas_L</t>
        </is>
      </c>
      <c r="Y67" s="5" t="inlineStr">
        <is>
          <t>Derrotas_V</t>
        </is>
      </c>
      <c r="Z67" s="5" t="inlineStr">
        <is>
          <t>GF_L</t>
        </is>
      </c>
      <c r="AA67" s="5" t="inlineStr">
        <is>
          <t>GF_V</t>
        </is>
      </c>
      <c r="AB67" s="5" t="inlineStr">
        <is>
          <t>GC_L</t>
        </is>
      </c>
      <c r="AC67" s="5" t="inlineStr">
        <is>
          <t>GC_V</t>
        </is>
      </c>
    </row>
    <row r="68">
      <c r="A68" s="34" t="n">
        <v>67</v>
      </c>
      <c r="B68" s="34" t="inlineStr">
        <is>
          <t>L</t>
        </is>
      </c>
      <c r="C68" s="34" t="inlineStr">
        <is>
          <t>Inglaterra</t>
        </is>
      </c>
      <c r="D68" s="34" t="inlineStr">
        <is>
          <t>Croacia</t>
        </is>
      </c>
      <c r="E68" s="3" t="n">
        <v>2</v>
      </c>
      <c r="F68" s="3" t="n">
        <v>2</v>
      </c>
      <c r="G68" s="34">
        <f>IF(E68&gt;F68,"Local",IF(E68=F68,"Empate","Visitante"))</f>
        <v/>
      </c>
      <c r="H68" s="1">
        <f>E68-F68</f>
        <v/>
      </c>
      <c r="J68" s="34" t="inlineStr">
        <is>
          <t>L</t>
        </is>
      </c>
      <c r="K68" s="8" t="n">
        <v>1</v>
      </c>
      <c r="L68" s="34" t="inlineStr">
        <is>
          <t>Inglaterra</t>
        </is>
      </c>
      <c r="M68" s="3">
        <f>(Q68*3)+R68</f>
        <v/>
      </c>
      <c r="N68" s="3">
        <f>O68-P68</f>
        <v/>
      </c>
      <c r="O68" s="3">
        <f>Z68+AA68</f>
        <v/>
      </c>
      <c r="P68" s="3">
        <f>AB68+AC68</f>
        <v/>
      </c>
      <c r="Q68" s="34">
        <f>T68+U68</f>
        <v/>
      </c>
      <c r="R68" s="34">
        <f>V68+W68</f>
        <v/>
      </c>
      <c r="S68" s="9">
        <f>X68+Y68</f>
        <v/>
      </c>
      <c r="T68" s="34">
        <f>COUNTIFS(C:C,L68,G:G,"Local")</f>
        <v/>
      </c>
      <c r="U68" s="34">
        <f>COUNTIFS(D:D,L68,G:G,"Visitante")</f>
        <v/>
      </c>
      <c r="V68" s="34">
        <f>COUNTIFS(C:C,L68,G:G,"Empate")</f>
        <v/>
      </c>
      <c r="W68" s="34">
        <f>COUNTIFS(D:D,L68,G:G,"Empate")</f>
        <v/>
      </c>
      <c r="X68" s="34">
        <f>COUNTIFS(C:C,L68,G:G,"Visitante")</f>
        <v/>
      </c>
      <c r="Y68" s="34">
        <f>COUNTIFS(D:D,L68,G:G,"Local")</f>
        <v/>
      </c>
      <c r="Z68" s="34">
        <f>SUMIF(C:C,L68,E:E)</f>
        <v/>
      </c>
      <c r="AA68" s="34">
        <f>SUMIF(D:D,L68,F:F)</f>
        <v/>
      </c>
      <c r="AB68" s="34">
        <f>SUMIF(C:C,L68,F:F)</f>
        <v/>
      </c>
      <c r="AC68" s="34">
        <f>SUMIF(D:D,L68,E:E)</f>
        <v/>
      </c>
    </row>
    <row r="69">
      <c r="A69" s="34" t="n">
        <v>68</v>
      </c>
      <c r="B69" s="34" t="inlineStr">
        <is>
          <t>L</t>
        </is>
      </c>
      <c r="C69" s="34" t="inlineStr">
        <is>
          <t>Ghana</t>
        </is>
      </c>
      <c r="D69" s="34" t="inlineStr">
        <is>
          <t>Panamá</t>
        </is>
      </c>
      <c r="E69" s="3" t="n">
        <v>2</v>
      </c>
      <c r="F69" s="3" t="n">
        <v>0</v>
      </c>
      <c r="G69" s="34">
        <f>IF(E69&gt;F69,"Local",IF(E69=F69,"Empate","Visitante"))</f>
        <v/>
      </c>
      <c r="H69" s="1">
        <f>E69-F69</f>
        <v/>
      </c>
      <c r="J69" s="32" t="n"/>
      <c r="K69" s="8" t="n">
        <v>2</v>
      </c>
      <c r="L69" s="34" t="inlineStr">
        <is>
          <t>Croacia</t>
        </is>
      </c>
      <c r="M69" s="3">
        <f>(Q69*3)+R69</f>
        <v/>
      </c>
      <c r="N69" s="3">
        <f>O69-P69</f>
        <v/>
      </c>
      <c r="O69" s="3">
        <f>Z69+AA69</f>
        <v/>
      </c>
      <c r="P69" s="3">
        <f>AB69+AC69</f>
        <v/>
      </c>
      <c r="Q69" s="34">
        <f>T69+U69</f>
        <v/>
      </c>
      <c r="R69" s="34">
        <f>V69+W69</f>
        <v/>
      </c>
      <c r="S69" s="9">
        <f>X69+Y69</f>
        <v/>
      </c>
      <c r="T69" s="34">
        <f>COUNTIFS(C:C,L69,G:G,"Local")</f>
        <v/>
      </c>
      <c r="U69" s="34">
        <f>COUNTIFS(D:D,L69,G:G,"Visitante")</f>
        <v/>
      </c>
      <c r="V69" s="34">
        <f>COUNTIFS(C:C,L69,G:G,"Empate")</f>
        <v/>
      </c>
      <c r="W69" s="34">
        <f>COUNTIFS(D:D,L69,G:G,"Empate")</f>
        <v/>
      </c>
      <c r="X69" s="34">
        <f>COUNTIFS(C:C,L69,G:G,"Visitante")</f>
        <v/>
      </c>
      <c r="Y69" s="34">
        <f>COUNTIFS(D:D,L69,G:G,"Local")</f>
        <v/>
      </c>
      <c r="Z69" s="34">
        <f>SUMIF(C:C,L69,E:E)</f>
        <v/>
      </c>
      <c r="AA69" s="34">
        <f>SUMIF(D:D,L69,F:F)</f>
        <v/>
      </c>
      <c r="AB69" s="34">
        <f>SUMIF(C:C,L69,F:F)</f>
        <v/>
      </c>
      <c r="AC69" s="34">
        <f>SUMIF(D:D,L69,E:E)</f>
        <v/>
      </c>
    </row>
    <row r="70">
      <c r="A70" s="34" t="n">
        <v>69</v>
      </c>
      <c r="B70" s="34" t="inlineStr">
        <is>
          <t>L</t>
        </is>
      </c>
      <c r="C70" s="34" t="inlineStr">
        <is>
          <t>Inglaterra</t>
        </is>
      </c>
      <c r="D70" s="34" t="inlineStr">
        <is>
          <t>Ghana</t>
        </is>
      </c>
      <c r="E70" s="3" t="n">
        <v>3</v>
      </c>
      <c r="F70" s="3" t="n">
        <v>1</v>
      </c>
      <c r="G70" s="34">
        <f>IF(E70&gt;F70,"Local",IF(E70=F70,"Empate","Visitante"))</f>
        <v/>
      </c>
      <c r="H70" s="1">
        <f>E70-F70</f>
        <v/>
      </c>
      <c r="J70" s="32" t="n"/>
      <c r="K70" s="8" t="n">
        <v>3</v>
      </c>
      <c r="L70" s="34" t="inlineStr">
        <is>
          <t>Ghana</t>
        </is>
      </c>
      <c r="M70" s="3">
        <f>(Q70*3)+R70</f>
        <v/>
      </c>
      <c r="N70" s="3">
        <f>O70-P70</f>
        <v/>
      </c>
      <c r="O70" s="3">
        <f>Z70+AA70</f>
        <v/>
      </c>
      <c r="P70" s="3">
        <f>AB70+AC70</f>
        <v/>
      </c>
      <c r="Q70" s="34">
        <f>T70+U70</f>
        <v/>
      </c>
      <c r="R70" s="34">
        <f>V70+W70</f>
        <v/>
      </c>
      <c r="S70" s="9">
        <f>X70+Y70</f>
        <v/>
      </c>
      <c r="T70" s="34">
        <f>COUNTIFS(C:C,L70,G:G,"Local")</f>
        <v/>
      </c>
      <c r="U70" s="34">
        <f>COUNTIFS(D:D,L70,G:G,"Visitante")</f>
        <v/>
      </c>
      <c r="V70" s="34">
        <f>COUNTIFS(C:C,L70,G:G,"Empate")</f>
        <v/>
      </c>
      <c r="W70" s="34">
        <f>COUNTIFS(D:D,L70,G:G,"Empate")</f>
        <v/>
      </c>
      <c r="X70" s="34">
        <f>COUNTIFS(C:C,L70,G:G,"Visitante")</f>
        <v/>
      </c>
      <c r="Y70" s="34">
        <f>COUNTIFS(D:D,L70,G:G,"Local")</f>
        <v/>
      </c>
      <c r="Z70" s="34">
        <f>SUMIF(C:C,L70,E:E)</f>
        <v/>
      </c>
      <c r="AA70" s="34">
        <f>SUMIF(D:D,L70,F:F)</f>
        <v/>
      </c>
      <c r="AB70" s="34">
        <f>SUMIF(C:C,L70,F:F)</f>
        <v/>
      </c>
      <c r="AC70" s="34">
        <f>SUMIF(D:D,L70,E:E)</f>
        <v/>
      </c>
    </row>
    <row r="71">
      <c r="A71" s="34" t="n">
        <v>70</v>
      </c>
      <c r="B71" s="34" t="inlineStr">
        <is>
          <t>L</t>
        </is>
      </c>
      <c r="C71" s="34" t="inlineStr">
        <is>
          <t>Panamá</t>
        </is>
      </c>
      <c r="D71" s="34" t="inlineStr">
        <is>
          <t>Croacia</t>
        </is>
      </c>
      <c r="E71" s="3" t="n">
        <v>0</v>
      </c>
      <c r="F71" s="3" t="n">
        <v>2</v>
      </c>
      <c r="G71" s="34">
        <f>IF(E71&gt;F71,"Local",IF(E71=F71,"Empate","Visitante"))</f>
        <v/>
      </c>
      <c r="H71" s="1">
        <f>E71-F71</f>
        <v/>
      </c>
      <c r="J71" s="33" t="n"/>
      <c r="K71" s="10" t="n">
        <v>4</v>
      </c>
      <c r="L71" s="4" t="inlineStr">
        <is>
          <t>Panamá</t>
        </is>
      </c>
      <c r="M71" s="11">
        <f>(Q71*3)+R71</f>
        <v/>
      </c>
      <c r="N71" s="11">
        <f>O71-P71</f>
        <v/>
      </c>
      <c r="O71" s="11">
        <f>Z71+AA71</f>
        <v/>
      </c>
      <c r="P71" s="11">
        <f>AB71+AC71</f>
        <v/>
      </c>
      <c r="Q71" s="4">
        <f>T71+U71</f>
        <v/>
      </c>
      <c r="R71" s="4">
        <f>V71+W71</f>
        <v/>
      </c>
      <c r="S71" s="12">
        <f>X71+Y71</f>
        <v/>
      </c>
      <c r="T71" s="34">
        <f>COUNTIFS(C:C,L71,G:G,"Local")</f>
        <v/>
      </c>
      <c r="U71" s="34">
        <f>COUNTIFS(D:D,L71,G:G,"Visitante")</f>
        <v/>
      </c>
      <c r="V71" s="34">
        <f>COUNTIFS(C:C,L71,G:G,"Empate")</f>
        <v/>
      </c>
      <c r="W71" s="34">
        <f>COUNTIFS(D:D,L71,G:G,"Empate")</f>
        <v/>
      </c>
      <c r="X71" s="34">
        <f>COUNTIFS(C:C,L71,G:G,"Visitante")</f>
        <v/>
      </c>
      <c r="Y71" s="34">
        <f>COUNTIFS(D:D,L71,G:G,"Local")</f>
        <v/>
      </c>
      <c r="Z71" s="34">
        <f>SUMIF(C:C,L71,E:E)</f>
        <v/>
      </c>
      <c r="AA71" s="34">
        <f>SUMIF(D:D,L71,F:F)</f>
        <v/>
      </c>
      <c r="AB71" s="34">
        <f>SUMIF(C:C,L71,F:F)</f>
        <v/>
      </c>
      <c r="AC71" s="34">
        <f>SUMIF(D:D,L71,E:E)</f>
        <v/>
      </c>
    </row>
    <row r="72">
      <c r="A72" s="34" t="n">
        <v>71</v>
      </c>
      <c r="B72" s="34" t="inlineStr">
        <is>
          <t>L</t>
        </is>
      </c>
      <c r="C72" s="34" t="inlineStr">
        <is>
          <t>Panamá</t>
        </is>
      </c>
      <c r="D72" s="34" t="inlineStr">
        <is>
          <t>Inglaterra</t>
        </is>
      </c>
      <c r="E72" s="3" t="n">
        <v>0</v>
      </c>
      <c r="F72" s="3" t="n">
        <v>3</v>
      </c>
      <c r="G72" s="34">
        <f>IF(E72&gt;F72,"Local",IF(E72=F72,"Empate","Visitante"))</f>
        <v/>
      </c>
      <c r="H72" s="1">
        <f>E72-F72</f>
        <v/>
      </c>
    </row>
    <row r="73" ht="15" customHeight="1">
      <c r="A73" s="34" t="n">
        <v>72</v>
      </c>
      <c r="B73" s="34" t="inlineStr">
        <is>
          <t>L</t>
        </is>
      </c>
      <c r="C73" s="34" t="inlineStr">
        <is>
          <t>Croacia</t>
        </is>
      </c>
      <c r="D73" s="34" t="inlineStr">
        <is>
          <t>Ghana</t>
        </is>
      </c>
      <c r="E73" s="3" t="n">
        <v>2</v>
      </c>
      <c r="F73" s="3" t="n">
        <v>1</v>
      </c>
      <c r="G73" s="34">
        <f>IF(E73&gt;F73,"Local",IF(E73=F73,"Empate","Visitante"))</f>
        <v/>
      </c>
      <c r="H73" s="1">
        <f>E73-F73</f>
        <v/>
      </c>
      <c r="I73" s="31" t="inlineStr">
        <is>
          <t>Clasificación Terceros</t>
        </is>
      </c>
      <c r="J73" s="7" t="inlineStr">
        <is>
          <t>Grupo</t>
        </is>
      </c>
      <c r="K73" s="6" t="inlineStr">
        <is>
          <t>Posición</t>
        </is>
      </c>
      <c r="L73" s="34" t="inlineStr">
        <is>
          <t>Equipo</t>
        </is>
      </c>
      <c r="M73" s="34" t="inlineStr">
        <is>
          <t>Puntos</t>
        </is>
      </c>
      <c r="N73" s="34" t="inlineStr">
        <is>
          <t>Diferencia</t>
        </is>
      </c>
      <c r="O73" s="34" t="inlineStr">
        <is>
          <t>GF</t>
        </is>
      </c>
      <c r="P73" s="5" t="inlineStr">
        <is>
          <t>GC</t>
        </is>
      </c>
      <c r="Q73" s="5" t="inlineStr">
        <is>
          <t>Victorias</t>
        </is>
      </c>
      <c r="R73" s="5" t="inlineStr">
        <is>
          <t>Empates</t>
        </is>
      </c>
      <c r="S73" s="7" t="inlineStr">
        <is>
          <t>Derrotas</t>
        </is>
      </c>
    </row>
    <row r="74">
      <c r="I74" s="32" t="n"/>
      <c r="J74" s="8" t="inlineStr">
        <is>
          <t>A</t>
        </is>
      </c>
      <c r="K74" s="34" t="n">
        <v>1</v>
      </c>
      <c r="L74" s="34" t="inlineStr">
        <is>
          <t>República Checa</t>
        </is>
      </c>
      <c r="M74" s="3" t="n">
        <v>5</v>
      </c>
      <c r="N74" s="3" t="n">
        <v>2</v>
      </c>
      <c r="O74" s="3" t="n">
        <v>5</v>
      </c>
      <c r="P74" s="3" t="n">
        <v>3</v>
      </c>
      <c r="Q74" s="34">
        <f>T74+U74</f>
        <v/>
      </c>
      <c r="R74" s="34">
        <f>V74+W74</f>
        <v/>
      </c>
      <c r="S74" s="9">
        <f>X74+Y74</f>
        <v/>
      </c>
    </row>
    <row r="75">
      <c r="I75" s="32" t="n"/>
      <c r="J75" s="8" t="inlineStr">
        <is>
          <t>F</t>
        </is>
      </c>
      <c r="K75" s="34" t="n">
        <v>2</v>
      </c>
      <c r="L75" s="34" t="inlineStr">
        <is>
          <t>Suecia</t>
        </is>
      </c>
      <c r="M75" s="3" t="n">
        <v>4</v>
      </c>
      <c r="N75" s="3" t="n">
        <v>1</v>
      </c>
      <c r="O75" s="3" t="n">
        <v>4</v>
      </c>
      <c r="P75" s="3" t="n">
        <v>3</v>
      </c>
      <c r="Q75" s="34">
        <f>T75+U75</f>
        <v/>
      </c>
      <c r="R75" s="34">
        <f>V75+W75</f>
        <v/>
      </c>
      <c r="S75" s="9">
        <f>X75+Y75</f>
        <v/>
      </c>
    </row>
    <row r="76">
      <c r="I76" s="32" t="n"/>
      <c r="J76" s="8" t="inlineStr">
        <is>
          <t>J</t>
        </is>
      </c>
      <c r="K76" s="34" t="n">
        <v>3</v>
      </c>
      <c r="L76" s="34" t="inlineStr">
        <is>
          <t>Austria</t>
        </is>
      </c>
      <c r="M76" s="3" t="n">
        <v>4</v>
      </c>
      <c r="N76" s="3" t="n">
        <v>0</v>
      </c>
      <c r="O76" s="3" t="n">
        <v>4</v>
      </c>
      <c r="P76" s="3" t="n">
        <v>4</v>
      </c>
      <c r="Q76" s="34">
        <f>T76+U76</f>
        <v/>
      </c>
      <c r="R76" s="34">
        <f>V76+W76</f>
        <v/>
      </c>
      <c r="S76" s="9">
        <f>X76+Y76</f>
        <v/>
      </c>
    </row>
    <row r="77">
      <c r="I77" s="32" t="n"/>
      <c r="J77" s="8" t="inlineStr">
        <is>
          <t>D</t>
        </is>
      </c>
      <c r="K77" s="34" t="n">
        <v>4</v>
      </c>
      <c r="L77" s="34" t="inlineStr">
        <is>
          <t>Estados Unidos</t>
        </is>
      </c>
      <c r="M77" s="3" t="n">
        <v>4</v>
      </c>
      <c r="N77" s="3" t="n">
        <v>0</v>
      </c>
      <c r="O77" s="3" t="n">
        <v>3</v>
      </c>
      <c r="P77" s="3" t="n">
        <v>3</v>
      </c>
      <c r="Q77" s="34">
        <f>T77+U77</f>
        <v/>
      </c>
      <c r="R77" s="34">
        <f>V77+W77</f>
        <v/>
      </c>
      <c r="S77" s="9">
        <f>X77+Y77</f>
        <v/>
      </c>
    </row>
    <row r="78">
      <c r="I78" s="32" t="n"/>
      <c r="J78" s="8" t="inlineStr">
        <is>
          <t>B</t>
        </is>
      </c>
      <c r="K78" s="34" t="n">
        <v>5</v>
      </c>
      <c r="L78" s="34" t="inlineStr">
        <is>
          <t>Canadá</t>
        </is>
      </c>
      <c r="M78" s="3" t="n">
        <v>3</v>
      </c>
      <c r="N78" s="3" t="n">
        <v>-1</v>
      </c>
      <c r="O78" s="3" t="n">
        <v>4</v>
      </c>
      <c r="P78" s="3" t="n">
        <v>5</v>
      </c>
      <c r="Q78" s="34">
        <f>T78+U78</f>
        <v/>
      </c>
      <c r="R78" s="34">
        <f>V78+W78</f>
        <v/>
      </c>
      <c r="S78" s="9">
        <f>X78+Y78</f>
        <v/>
      </c>
    </row>
    <row r="79">
      <c r="I79" s="32" t="n"/>
      <c r="J79" s="8" t="inlineStr">
        <is>
          <t>L</t>
        </is>
      </c>
      <c r="K79" s="34" t="n">
        <v>6</v>
      </c>
      <c r="L79" s="34" t="inlineStr">
        <is>
          <t>Ghana</t>
        </is>
      </c>
      <c r="M79" s="3" t="n">
        <v>3</v>
      </c>
      <c r="N79" s="3" t="n">
        <v>-1</v>
      </c>
      <c r="O79" s="3" t="n">
        <v>4</v>
      </c>
      <c r="P79" s="3" t="n">
        <v>5</v>
      </c>
      <c r="Q79" s="34" t="n">
        <v>1</v>
      </c>
      <c r="R79" s="34" t="n">
        <v>0</v>
      </c>
      <c r="S79" s="9" t="n">
        <v>2</v>
      </c>
    </row>
    <row r="80">
      <c r="I80" s="32" t="n"/>
      <c r="J80" s="8" t="inlineStr">
        <is>
          <t>C</t>
        </is>
      </c>
      <c r="K80" s="34" t="n">
        <v>7</v>
      </c>
      <c r="L80" s="34" t="inlineStr">
        <is>
          <t>Escocia</t>
        </is>
      </c>
      <c r="M80" s="3" t="n">
        <v>3</v>
      </c>
      <c r="N80" s="3" t="n">
        <v>-1</v>
      </c>
      <c r="O80" s="3" t="n">
        <v>3</v>
      </c>
      <c r="P80" s="3" t="n">
        <v>4</v>
      </c>
      <c r="Q80" s="34">
        <f>T80+U80</f>
        <v/>
      </c>
      <c r="R80" s="34">
        <f>V80+W80</f>
        <v/>
      </c>
      <c r="S80" s="9">
        <f>X80+Y80</f>
        <v/>
      </c>
    </row>
    <row r="81">
      <c r="I81" s="32" t="n"/>
      <c r="J81" s="8" t="inlineStr">
        <is>
          <t>I</t>
        </is>
      </c>
      <c r="K81" s="34" t="n">
        <v>8</v>
      </c>
      <c r="L81" s="34" t="inlineStr">
        <is>
          <t>Senegal</t>
        </is>
      </c>
      <c r="M81" s="3" t="n">
        <v>3</v>
      </c>
      <c r="N81" s="3" t="n">
        <v>-2</v>
      </c>
      <c r="O81" s="3" t="n">
        <v>4</v>
      </c>
      <c r="P81" s="3" t="n">
        <v>6</v>
      </c>
      <c r="Q81" s="34">
        <f>T81+U81</f>
        <v/>
      </c>
      <c r="R81" s="34">
        <f>V81+W81</f>
        <v/>
      </c>
      <c r="S81" s="9">
        <f>X81+Y81</f>
        <v/>
      </c>
    </row>
    <row r="82">
      <c r="I82" s="32" t="n"/>
      <c r="J82" s="8" t="inlineStr">
        <is>
          <t>E</t>
        </is>
      </c>
      <c r="K82" s="34" t="n">
        <v>9</v>
      </c>
      <c r="L82" s="34" t="inlineStr">
        <is>
          <t>Costa de Marfil</t>
        </is>
      </c>
      <c r="M82" s="3" t="n">
        <v>3</v>
      </c>
      <c r="N82" s="3" t="n">
        <v>-2</v>
      </c>
      <c r="O82" s="3" t="n">
        <v>3</v>
      </c>
      <c r="P82" s="3" t="n">
        <v>5</v>
      </c>
      <c r="Q82" s="34">
        <f>T82+U82</f>
        <v/>
      </c>
      <c r="R82" s="34">
        <f>V82+W82</f>
        <v/>
      </c>
      <c r="S82" s="9">
        <f>X82+Y82</f>
        <v/>
      </c>
    </row>
    <row r="83">
      <c r="I83" s="32" t="n"/>
      <c r="J83" s="8" t="inlineStr">
        <is>
          <t>H</t>
        </is>
      </c>
      <c r="K83" s="34" t="n">
        <v>10</v>
      </c>
      <c r="L83" s="34" t="inlineStr">
        <is>
          <t>Arabia Saudí</t>
        </is>
      </c>
      <c r="M83" s="3" t="n">
        <v>3</v>
      </c>
      <c r="N83" s="3" t="n">
        <v>-2</v>
      </c>
      <c r="O83" s="3" t="n">
        <v>3</v>
      </c>
      <c r="P83" s="3" t="n">
        <v>5</v>
      </c>
      <c r="Q83" s="34">
        <f>T83+U83</f>
        <v/>
      </c>
      <c r="R83" s="34">
        <f>V83+W83</f>
        <v/>
      </c>
      <c r="S83" s="9">
        <f>X83+Y83</f>
        <v/>
      </c>
    </row>
    <row r="84">
      <c r="I84" s="32" t="n"/>
      <c r="J84" s="8" t="inlineStr">
        <is>
          <t>K</t>
        </is>
      </c>
      <c r="K84" s="34" t="n">
        <v>11</v>
      </c>
      <c r="L84" s="34" t="inlineStr">
        <is>
          <t>RD Congo</t>
        </is>
      </c>
      <c r="M84" s="3" t="n">
        <v>3</v>
      </c>
      <c r="N84" s="3" t="n">
        <v>-3</v>
      </c>
      <c r="O84" s="3" t="n">
        <v>1</v>
      </c>
      <c r="P84" s="3" t="n">
        <v>4</v>
      </c>
      <c r="Q84" s="34">
        <f>T84+U84</f>
        <v/>
      </c>
      <c r="R84" s="34">
        <f>V84+W84</f>
        <v/>
      </c>
      <c r="S84" s="9">
        <f>X84+Y84</f>
        <v/>
      </c>
    </row>
    <row r="85">
      <c r="I85" s="33" t="n"/>
      <c r="J85" s="10" t="inlineStr">
        <is>
          <t>G</t>
        </is>
      </c>
      <c r="K85" s="4" t="n">
        <v>12</v>
      </c>
      <c r="L85" s="4" t="inlineStr">
        <is>
          <t>Egipto</t>
        </is>
      </c>
      <c r="M85" s="11" t="n">
        <v>1</v>
      </c>
      <c r="N85" s="11" t="n">
        <v>-2</v>
      </c>
      <c r="O85" s="11" t="n">
        <v>3</v>
      </c>
      <c r="P85" s="11" t="n">
        <v>5</v>
      </c>
      <c r="Q85" s="4">
        <f>T85+U85</f>
        <v/>
      </c>
      <c r="R85" s="4">
        <f>V85+W85</f>
        <v/>
      </c>
      <c r="S85" s="12">
        <f>X85+Y85</f>
        <v/>
      </c>
    </row>
  </sheetData>
  <mergeCells count="13">
    <mergeCell ref="J32:J35"/>
    <mergeCell ref="J26:J29"/>
    <mergeCell ref="J56:J59"/>
    <mergeCell ref="I73:I85"/>
    <mergeCell ref="J68:J71"/>
    <mergeCell ref="J8:J11"/>
    <mergeCell ref="J2:J5"/>
    <mergeCell ref="J20:J23"/>
    <mergeCell ref="J50:J53"/>
    <mergeCell ref="J38:J41"/>
    <mergeCell ref="J14:J17"/>
    <mergeCell ref="J44:J47"/>
    <mergeCell ref="J62:J65"/>
  </mergeCells>
  <pageMargins left="0.7" right="0.7" top="0.75" bottom="0.75" header="0.3" footer="0.3"/>
  <pageSetup orientation="portrait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U39" sqref="U39"/>
    </sheetView>
  </sheetViews>
  <sheetFormatPr baseColWidth="10" defaultRowHeight="15"/>
  <cols>
    <col width="20.1640625" bestFit="1" customWidth="1" min="3" max="3"/>
    <col width="13.1640625" bestFit="1" customWidth="1" min="6" max="6"/>
  </cols>
  <sheetData>
    <row r="1">
      <c r="A1" s="35" t="inlineStr">
        <is>
          <t>Dieciseisavos</t>
        </is>
      </c>
      <c r="B1" s="28" t="n"/>
      <c r="C1" s="29" t="n"/>
      <c r="D1" s="35" t="inlineStr">
        <is>
          <t>Octavos</t>
        </is>
      </c>
      <c r="E1" s="28" t="n"/>
      <c r="F1" s="29" t="n"/>
      <c r="G1" s="35" t="inlineStr">
        <is>
          <t>Cuartos</t>
        </is>
      </c>
      <c r="H1" s="28" t="n"/>
      <c r="I1" s="29" t="n"/>
      <c r="J1" s="35" t="inlineStr">
        <is>
          <t>Semifinal</t>
        </is>
      </c>
      <c r="K1" s="28" t="n"/>
      <c r="L1" s="29" t="n"/>
      <c r="M1" s="35" t="inlineStr">
        <is>
          <t>Tercero puesto</t>
        </is>
      </c>
      <c r="N1" s="28" t="n"/>
      <c r="O1" s="29" t="n"/>
      <c r="P1" s="35" t="inlineStr">
        <is>
          <t>Final</t>
        </is>
      </c>
      <c r="Q1" s="28" t="n"/>
      <c r="R1" s="29" t="n"/>
      <c r="S1" s="35" t="inlineStr">
        <is>
          <t>Tercero</t>
        </is>
      </c>
      <c r="T1" s="35" t="inlineStr">
        <is>
          <t>Campeón</t>
        </is>
      </c>
      <c r="U1" s="1" t="n"/>
    </row>
    <row r="2">
      <c r="A2" s="35" t="n">
        <v>74</v>
      </c>
      <c r="B2" s="35" t="inlineStr">
        <is>
          <t>1E</t>
        </is>
      </c>
      <c r="C2" s="3" t="inlineStr">
        <is>
          <t>Alemania</t>
        </is>
      </c>
      <c r="D2" s="35" t="n">
        <v>89</v>
      </c>
      <c r="E2" s="35" t="inlineStr">
        <is>
          <t>W74</t>
        </is>
      </c>
      <c r="F2" s="3" t="inlineStr">
        <is>
          <t>Alemania</t>
        </is>
      </c>
      <c r="G2" s="35" t="n">
        <v>97</v>
      </c>
      <c r="H2" s="35" t="inlineStr">
        <is>
          <t>W89</t>
        </is>
      </c>
      <c r="I2" s="3" t="inlineStr">
        <is>
          <t>Francia</t>
        </is>
      </c>
      <c r="J2" s="35" t="n">
        <v>101</v>
      </c>
      <c r="K2" s="35" t="inlineStr">
        <is>
          <t>W97</t>
        </is>
      </c>
      <c r="L2" s="3" t="inlineStr">
        <is>
          <t>Francia</t>
        </is>
      </c>
      <c r="M2" s="35" t="n">
        <v>103</v>
      </c>
      <c r="N2" s="35" t="inlineStr">
        <is>
          <t>L101</t>
        </is>
      </c>
      <c r="O2" s="3" t="inlineStr">
        <is>
          <t>España</t>
        </is>
      </c>
      <c r="P2" s="35" t="n">
        <v>104</v>
      </c>
      <c r="Q2" s="35" t="inlineStr">
        <is>
          <t>W101</t>
        </is>
      </c>
      <c r="R2" s="3" t="inlineStr">
        <is>
          <t>Francia</t>
        </is>
      </c>
      <c r="S2" s="3" t="inlineStr">
        <is>
          <t>España</t>
        </is>
      </c>
      <c r="T2" s="3" t="inlineStr">
        <is>
          <t>Francia</t>
        </is>
      </c>
      <c r="U2" s="1" t="n"/>
    </row>
    <row r="3">
      <c r="A3" s="33" t="n"/>
      <c r="B3" s="35" t="inlineStr">
        <is>
          <t>3ABCDF</t>
        </is>
      </c>
      <c r="C3" s="3" t="inlineStr">
        <is>
          <t>Estados Unidos</t>
        </is>
      </c>
      <c r="D3" s="33" t="n"/>
      <c r="E3" s="35" t="inlineStr">
        <is>
          <t>W77</t>
        </is>
      </c>
      <c r="F3" s="3" t="inlineStr">
        <is>
          <t>Francia</t>
        </is>
      </c>
      <c r="G3" s="33" t="n"/>
      <c r="H3" s="35" t="inlineStr">
        <is>
          <t>W90</t>
        </is>
      </c>
      <c r="I3" s="3" t="inlineStr">
        <is>
          <t>Países Bajos</t>
        </is>
      </c>
      <c r="J3" s="33" t="n"/>
      <c r="K3" s="35" t="inlineStr">
        <is>
          <t>W98</t>
        </is>
      </c>
      <c r="L3" s="3" t="inlineStr">
        <is>
          <t>España</t>
        </is>
      </c>
      <c r="M3" s="33" t="n"/>
      <c r="N3" s="35" t="inlineStr">
        <is>
          <t>L102</t>
        </is>
      </c>
      <c r="O3" s="3" t="inlineStr">
        <is>
          <t>Inglaterra</t>
        </is>
      </c>
      <c r="P3" s="33" t="n"/>
      <c r="Q3" s="35" t="inlineStr">
        <is>
          <t>W102</t>
        </is>
      </c>
      <c r="R3" s="3" t="inlineStr">
        <is>
          <t>Portugal</t>
        </is>
      </c>
      <c r="S3" s="1" t="n"/>
      <c r="T3" s="1" t="n"/>
      <c r="U3" s="1" t="n"/>
    </row>
    <row r="4">
      <c r="A4" s="35" t="n">
        <v>77</v>
      </c>
      <c r="B4" s="35" t="inlineStr">
        <is>
          <t>1I</t>
        </is>
      </c>
      <c r="C4" s="3" t="inlineStr">
        <is>
          <t>Francia</t>
        </is>
      </c>
      <c r="D4" s="35" t="n">
        <v>90</v>
      </c>
      <c r="E4" s="35" t="inlineStr">
        <is>
          <t>W73</t>
        </is>
      </c>
      <c r="F4" s="3" t="inlineStr">
        <is>
          <t>Corea del Sur</t>
        </is>
      </c>
      <c r="G4" s="35" t="n">
        <v>98</v>
      </c>
      <c r="H4" s="35" t="inlineStr">
        <is>
          <t>W93</t>
        </is>
      </c>
      <c r="I4" s="3" t="inlineStr">
        <is>
          <t>España</t>
        </is>
      </c>
      <c r="J4" s="35" t="n">
        <v>102</v>
      </c>
      <c r="K4" s="35" t="inlineStr">
        <is>
          <t>W99</t>
        </is>
      </c>
      <c r="L4" s="3" t="inlineStr">
        <is>
          <t>Inglaterra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3" t="n"/>
      <c r="B5" s="35" t="inlineStr">
        <is>
          <t>3CDFGH</t>
        </is>
      </c>
      <c r="C5" s="3" t="inlineStr">
        <is>
          <t>Suecia</t>
        </is>
      </c>
      <c r="D5" s="33" t="n"/>
      <c r="E5" s="35" t="inlineStr">
        <is>
          <t>W75</t>
        </is>
      </c>
      <c r="F5" s="3" t="inlineStr">
        <is>
          <t>Países Bajos</t>
        </is>
      </c>
      <c r="G5" s="33" t="n"/>
      <c r="H5" s="35" t="inlineStr">
        <is>
          <t>W94</t>
        </is>
      </c>
      <c r="I5" s="3" t="inlineStr">
        <is>
          <t>Turquía</t>
        </is>
      </c>
      <c r="J5" s="33" t="n"/>
      <c r="K5" s="35" t="inlineStr">
        <is>
          <t>W100</t>
        </is>
      </c>
      <c r="L5" s="3" t="inlineStr">
        <is>
          <t>Portugal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35" t="n">
        <v>73</v>
      </c>
      <c r="B6" s="35" t="inlineStr">
        <is>
          <t>2A</t>
        </is>
      </c>
      <c r="C6" s="3" t="inlineStr">
        <is>
          <t>Corea del Sur</t>
        </is>
      </c>
      <c r="D6" s="35" t="n">
        <v>93</v>
      </c>
      <c r="E6" s="35" t="inlineStr">
        <is>
          <t>W83</t>
        </is>
      </c>
      <c r="F6" s="3" t="inlineStr">
        <is>
          <t>Croacia</t>
        </is>
      </c>
      <c r="G6" s="35" t="n">
        <v>99</v>
      </c>
      <c r="H6" s="35" t="inlineStr">
        <is>
          <t>W91</t>
        </is>
      </c>
      <c r="I6" s="3" t="inlineStr">
        <is>
          <t>Noruega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33" t="n"/>
      <c r="B7" s="35" t="inlineStr">
        <is>
          <t>2B</t>
        </is>
      </c>
      <c r="C7" s="3" t="inlineStr">
        <is>
          <t>Bosnia y Herzegovina</t>
        </is>
      </c>
      <c r="D7" s="33" t="n"/>
      <c r="E7" s="35" t="inlineStr">
        <is>
          <t>W84</t>
        </is>
      </c>
      <c r="F7" s="3" t="inlineStr">
        <is>
          <t>España</t>
        </is>
      </c>
      <c r="G7" s="33" t="n"/>
      <c r="H7" s="35" t="inlineStr">
        <is>
          <t>W92</t>
        </is>
      </c>
      <c r="I7" s="3" t="inlineStr">
        <is>
          <t>Inglaterra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35" t="n">
        <v>75</v>
      </c>
      <c r="B8" s="35" t="inlineStr">
        <is>
          <t>1F</t>
        </is>
      </c>
      <c r="C8" s="3" t="inlineStr">
        <is>
          <t>Países Bajos</t>
        </is>
      </c>
      <c r="D8" s="35" t="n">
        <v>94</v>
      </c>
      <c r="E8" s="35" t="inlineStr">
        <is>
          <t>W81</t>
        </is>
      </c>
      <c r="F8" s="3" t="inlineStr">
        <is>
          <t>Turquía</t>
        </is>
      </c>
      <c r="G8" s="35" t="n">
        <v>100</v>
      </c>
      <c r="H8" s="35" t="inlineStr">
        <is>
          <t>W95</t>
        </is>
      </c>
      <c r="I8" s="3" t="inlineStr">
        <is>
          <t>Argentina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33" t="n"/>
      <c r="B9" s="35" t="inlineStr">
        <is>
          <t>2C</t>
        </is>
      </c>
      <c r="C9" s="3" t="inlineStr">
        <is>
          <t>Marruecos</t>
        </is>
      </c>
      <c r="D9" s="33" t="n"/>
      <c r="E9" s="35" t="inlineStr">
        <is>
          <t>W82</t>
        </is>
      </c>
      <c r="F9" s="3" t="inlineStr">
        <is>
          <t>Bélgica</t>
        </is>
      </c>
      <c r="G9" s="33" t="n"/>
      <c r="H9" s="35" t="inlineStr">
        <is>
          <t>W96</t>
        </is>
      </c>
      <c r="I9" s="3" t="inlineStr">
        <is>
          <t>Portugal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35" t="n">
        <v>83</v>
      </c>
      <c r="B10" s="35" t="inlineStr">
        <is>
          <t>2K</t>
        </is>
      </c>
      <c r="C10" s="3" t="inlineStr">
        <is>
          <t>Colombia</t>
        </is>
      </c>
      <c r="D10" s="35" t="n">
        <v>91</v>
      </c>
      <c r="E10" s="35" t="inlineStr">
        <is>
          <t>W76</t>
        </is>
      </c>
      <c r="F10" s="3" t="inlineStr">
        <is>
          <t>Japón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33" t="n"/>
      <c r="B11" s="35" t="inlineStr">
        <is>
          <t>2L</t>
        </is>
      </c>
      <c r="C11" s="3" t="inlineStr">
        <is>
          <t>Croacia</t>
        </is>
      </c>
      <c r="D11" s="33" t="n"/>
      <c r="E11" s="35" t="inlineStr">
        <is>
          <t>W78</t>
        </is>
      </c>
      <c r="F11" s="3" t="inlineStr">
        <is>
          <t>Noruega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35" t="n">
        <v>84</v>
      </c>
      <c r="B12" s="35" t="inlineStr">
        <is>
          <t>1H</t>
        </is>
      </c>
      <c r="C12" s="3" t="inlineStr">
        <is>
          <t>España</t>
        </is>
      </c>
      <c r="D12" s="35" t="n">
        <v>92</v>
      </c>
      <c r="E12" s="35" t="inlineStr">
        <is>
          <t>W79</t>
        </is>
      </c>
      <c r="F12" s="3" t="inlineStr">
        <is>
          <t>México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33" t="n"/>
      <c r="B13" s="35" t="inlineStr">
        <is>
          <t>2J</t>
        </is>
      </c>
      <c r="C13" s="3" t="inlineStr">
        <is>
          <t>Argelia</t>
        </is>
      </c>
      <c r="D13" s="33" t="n"/>
      <c r="E13" s="35" t="inlineStr">
        <is>
          <t>W80</t>
        </is>
      </c>
      <c r="F13" s="3" t="inlineStr">
        <is>
          <t>Inglaterra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35" t="n">
        <v>81</v>
      </c>
      <c r="B14" s="35" t="inlineStr">
        <is>
          <t>1D</t>
        </is>
      </c>
      <c r="C14" s="3" t="inlineStr">
        <is>
          <t>Turquía</t>
        </is>
      </c>
      <c r="D14" s="35" t="n">
        <v>95</v>
      </c>
      <c r="E14" s="35" t="inlineStr">
        <is>
          <t>W86</t>
        </is>
      </c>
      <c r="F14" s="3" t="inlineStr">
        <is>
          <t>Argentina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33" t="n"/>
      <c r="B15" s="35" t="inlineStr">
        <is>
          <t>3BEFIJ</t>
        </is>
      </c>
      <c r="C15" s="3" t="inlineStr">
        <is>
          <t>Canadá</t>
        </is>
      </c>
      <c r="D15" s="33" t="n"/>
      <c r="E15" s="35" t="inlineStr">
        <is>
          <t>W88</t>
        </is>
      </c>
      <c r="F15" s="3" t="inlineStr">
        <is>
          <t>Paraguay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35" t="n">
        <v>82</v>
      </c>
      <c r="B16" s="35" t="inlineStr">
        <is>
          <t>1G</t>
        </is>
      </c>
      <c r="C16" s="3" t="inlineStr">
        <is>
          <t>Bélgica</t>
        </is>
      </c>
      <c r="D16" s="35" t="n">
        <v>96</v>
      </c>
      <c r="E16" s="35" t="inlineStr">
        <is>
          <t>W85</t>
        </is>
      </c>
      <c r="F16" s="3" t="inlineStr">
        <is>
          <t>Suiza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33" t="n"/>
      <c r="B17" s="35" t="inlineStr">
        <is>
          <t>3AEHIJ</t>
        </is>
      </c>
      <c r="C17" s="3" t="inlineStr">
        <is>
          <t>República Checa</t>
        </is>
      </c>
      <c r="D17" s="33" t="n"/>
      <c r="E17" s="35" t="inlineStr">
        <is>
          <t>W87</t>
        </is>
      </c>
      <c r="F17" s="3" t="inlineStr">
        <is>
          <t>Portugal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35" t="n">
        <v>76</v>
      </c>
      <c r="B18" s="35" t="inlineStr">
        <is>
          <t>1C</t>
        </is>
      </c>
      <c r="C18" s="3" t="inlineStr">
        <is>
          <t>Brasil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33" t="n"/>
      <c r="B19" s="35" t="inlineStr">
        <is>
          <t>2F</t>
        </is>
      </c>
      <c r="C19" s="3" t="inlineStr">
        <is>
          <t>Japón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35" t="n">
        <v>78</v>
      </c>
      <c r="B20" s="35" t="inlineStr">
        <is>
          <t>2E</t>
        </is>
      </c>
      <c r="C20" s="3" t="inlineStr">
        <is>
          <t>Ecuador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33" t="n"/>
      <c r="B21" s="35" t="inlineStr">
        <is>
          <t>2I</t>
        </is>
      </c>
      <c r="C21" s="3" t="inlineStr">
        <is>
          <t>Noruega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35" t="n">
        <v>79</v>
      </c>
      <c r="B22" s="35" t="inlineStr">
        <is>
          <t>1A</t>
        </is>
      </c>
      <c r="C22" s="3" t="inlineStr">
        <is>
          <t>México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33" t="n"/>
      <c r="B23" s="35" t="inlineStr">
        <is>
          <t>3CEFHI</t>
        </is>
      </c>
      <c r="C23" s="3" t="inlineStr">
        <is>
          <t>Escocia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35" t="n">
        <v>80</v>
      </c>
      <c r="B24" s="35" t="inlineStr">
        <is>
          <t>1L</t>
        </is>
      </c>
      <c r="C24" s="3" t="inlineStr">
        <is>
          <t>Inglaterra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33" t="n"/>
      <c r="B25" s="35" t="inlineStr">
        <is>
          <t>3EHIJK</t>
        </is>
      </c>
      <c r="C25" s="3" t="inlineStr">
        <is>
          <t>Senegal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35" t="n">
        <v>86</v>
      </c>
      <c r="B26" s="35" t="inlineStr">
        <is>
          <t>1J</t>
        </is>
      </c>
      <c r="C26" s="3" t="inlineStr">
        <is>
          <t>Argentina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33" t="n"/>
      <c r="B27" s="35" t="inlineStr">
        <is>
          <t>2H</t>
        </is>
      </c>
      <c r="C27" s="3" t="inlineStr">
        <is>
          <t>Uruguay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35" t="n">
        <v>88</v>
      </c>
      <c r="B28" s="35" t="inlineStr">
        <is>
          <t>2D</t>
        </is>
      </c>
      <c r="C28" s="3" t="inlineStr">
        <is>
          <t>Paraguay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33" t="n"/>
      <c r="B29" s="35" t="inlineStr">
        <is>
          <t>2G</t>
        </is>
      </c>
      <c r="C29" s="3" t="inlineStr">
        <is>
          <t>Irán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35" t="n">
        <v>85</v>
      </c>
      <c r="B30" s="35" t="inlineStr">
        <is>
          <t>1B</t>
        </is>
      </c>
      <c r="C30" s="3" t="inlineStr">
        <is>
          <t>Suiza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33" t="n"/>
      <c r="B31" s="35" t="inlineStr">
        <is>
          <t>3EFGIJ</t>
        </is>
      </c>
      <c r="C31" s="3" t="inlineStr">
        <is>
          <t>Austria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35" t="n">
        <v>87</v>
      </c>
      <c r="B32" s="35" t="inlineStr">
        <is>
          <t>1K</t>
        </is>
      </c>
      <c r="C32" s="3" t="inlineStr">
        <is>
          <t>Portugal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33" t="n"/>
      <c r="B33" s="35" t="inlineStr">
        <is>
          <t>3DEIJL</t>
        </is>
      </c>
      <c r="C33" s="3" t="inlineStr">
        <is>
          <t>Ghana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</sheetData>
  <mergeCells count="38">
    <mergeCell ref="A24:A25"/>
    <mergeCell ref="G8:G9"/>
    <mergeCell ref="M2:M3"/>
    <mergeCell ref="A16:A17"/>
    <mergeCell ref="A6:A7"/>
    <mergeCell ref="D2:D3"/>
    <mergeCell ref="P2:P3"/>
    <mergeCell ref="A12:A13"/>
    <mergeCell ref="A26:A27"/>
    <mergeCell ref="J4:J5"/>
    <mergeCell ref="D4:D5"/>
    <mergeCell ref="G6:G7"/>
    <mergeCell ref="D16:D17"/>
    <mergeCell ref="A2:A3"/>
    <mergeCell ref="D12:D13"/>
    <mergeCell ref="A18:A19"/>
    <mergeCell ref="G1:I1"/>
    <mergeCell ref="A14:A15"/>
    <mergeCell ref="A32:A33"/>
    <mergeCell ref="A8:A9"/>
    <mergeCell ref="A22:A23"/>
    <mergeCell ref="A4:A5"/>
    <mergeCell ref="G4:G5"/>
    <mergeCell ref="D8:D9"/>
    <mergeCell ref="A20:A21"/>
    <mergeCell ref="A10:A11"/>
    <mergeCell ref="D1:F1"/>
    <mergeCell ref="J2:J3"/>
    <mergeCell ref="D14:D15"/>
    <mergeCell ref="J1:L1"/>
    <mergeCell ref="P1:R1"/>
    <mergeCell ref="D10:D11"/>
    <mergeCell ref="A1:C1"/>
    <mergeCell ref="A28:A29"/>
    <mergeCell ref="M1:O1"/>
    <mergeCell ref="D6:D7"/>
    <mergeCell ref="G2:G3"/>
    <mergeCell ref="A30:A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B2" sqref="B2"/>
    </sheetView>
  </sheetViews>
  <sheetFormatPr baseColWidth="10" defaultRowHeight="15"/>
  <cols>
    <col width="20.1640625" bestFit="1" customWidth="1" min="1" max="1"/>
    <col width="13.1640625" bestFit="1" customWidth="1" min="2" max="2"/>
  </cols>
  <sheetData>
    <row r="1">
      <c r="A1" s="34" t="inlineStr">
        <is>
          <t>Dieciseisavos</t>
        </is>
      </c>
      <c r="B1" s="34" t="inlineStr">
        <is>
          <t>Octavos</t>
        </is>
      </c>
      <c r="C1" s="34" t="inlineStr">
        <is>
          <t>Cuartos</t>
        </is>
      </c>
      <c r="D1" s="34" t="inlineStr">
        <is>
          <t>Semifinal</t>
        </is>
      </c>
      <c r="E1" s="34" t="inlineStr">
        <is>
          <t>Tercero</t>
        </is>
      </c>
      <c r="F1" s="34" t="inlineStr">
        <is>
          <t>Final</t>
        </is>
      </c>
      <c r="G1" s="34" t="inlineStr">
        <is>
          <t>Campeón</t>
        </is>
      </c>
    </row>
    <row r="2">
      <c r="A2" s="3" t="inlineStr">
        <is>
          <t>Alemania</t>
        </is>
      </c>
      <c r="B2" s="3" t="inlineStr">
        <is>
          <t>Alemania</t>
        </is>
      </c>
      <c r="C2" s="3" t="inlineStr">
        <is>
          <t>Francia</t>
        </is>
      </c>
      <c r="D2" s="3" t="inlineStr">
        <is>
          <t>Francia</t>
        </is>
      </c>
      <c r="E2" s="3" t="inlineStr">
        <is>
          <t>España</t>
        </is>
      </c>
      <c r="F2" s="3" t="inlineStr">
        <is>
          <t>Francia</t>
        </is>
      </c>
      <c r="G2" s="3" t="inlineStr">
        <is>
          <t>Francia</t>
        </is>
      </c>
    </row>
    <row r="3">
      <c r="A3" s="3" t="inlineStr">
        <is>
          <t>Estados Unidos</t>
        </is>
      </c>
      <c r="B3" s="3" t="inlineStr">
        <is>
          <t>Francia</t>
        </is>
      </c>
      <c r="C3" s="3" t="inlineStr">
        <is>
          <t>Países Bajos</t>
        </is>
      </c>
      <c r="D3" s="3" t="inlineStr">
        <is>
          <t>España</t>
        </is>
      </c>
      <c r="E3" s="18" t="n"/>
      <c r="F3" s="3" t="inlineStr">
        <is>
          <t>Portugal</t>
        </is>
      </c>
      <c r="G3" s="18" t="n"/>
    </row>
    <row r="4">
      <c r="A4" s="3" t="inlineStr">
        <is>
          <t>Francia</t>
        </is>
      </c>
      <c r="B4" s="3" t="inlineStr">
        <is>
          <t>Corea del Sur</t>
        </is>
      </c>
      <c r="C4" s="3" t="inlineStr">
        <is>
          <t>España</t>
        </is>
      </c>
      <c r="D4" s="3" t="inlineStr">
        <is>
          <t>Inglaterra</t>
        </is>
      </c>
      <c r="E4" s="18" t="n"/>
      <c r="F4" s="18" t="n"/>
      <c r="G4" s="18" t="n"/>
    </row>
    <row r="5">
      <c r="A5" s="3" t="inlineStr">
        <is>
          <t>Suecia</t>
        </is>
      </c>
      <c r="B5" s="3" t="inlineStr">
        <is>
          <t>Países Bajos</t>
        </is>
      </c>
      <c r="C5" s="3" t="inlineStr">
        <is>
          <t>Turquía</t>
        </is>
      </c>
      <c r="D5" s="3" t="inlineStr">
        <is>
          <t>Portugal</t>
        </is>
      </c>
      <c r="E5" s="18" t="n"/>
      <c r="F5" s="18" t="n"/>
      <c r="G5" s="18" t="n"/>
    </row>
    <row r="6">
      <c r="A6" s="3" t="inlineStr">
        <is>
          <t>Corea del Sur</t>
        </is>
      </c>
      <c r="B6" s="3" t="inlineStr">
        <is>
          <t>Croacia</t>
        </is>
      </c>
      <c r="C6" s="3" t="inlineStr">
        <is>
          <t>Noruega</t>
        </is>
      </c>
      <c r="D6" s="18" t="n"/>
      <c r="E6" s="18" t="n"/>
      <c r="F6" s="18" t="n"/>
      <c r="G6" s="18" t="n"/>
    </row>
    <row r="7">
      <c r="A7" s="3" t="inlineStr">
        <is>
          <t>Bosnia y Herzegovina</t>
        </is>
      </c>
      <c r="B7" s="3" t="inlineStr">
        <is>
          <t>España</t>
        </is>
      </c>
      <c r="C7" s="3" t="inlineStr">
        <is>
          <t>Inglaterra</t>
        </is>
      </c>
      <c r="D7" s="18" t="n"/>
      <c r="E7" s="18" t="n"/>
      <c r="F7" s="18" t="n"/>
      <c r="G7" s="18" t="n"/>
    </row>
    <row r="8">
      <c r="A8" s="3" t="inlineStr">
        <is>
          <t>Países Bajos</t>
        </is>
      </c>
      <c r="B8" s="3" t="inlineStr">
        <is>
          <t>Turquía</t>
        </is>
      </c>
      <c r="C8" s="3" t="inlineStr">
        <is>
          <t>Argentina</t>
        </is>
      </c>
      <c r="D8" s="18" t="n"/>
      <c r="E8" s="18" t="n"/>
      <c r="F8" s="18" t="n"/>
      <c r="G8" s="18" t="n"/>
    </row>
    <row r="9">
      <c r="A9" s="3" t="inlineStr">
        <is>
          <t>Marruecos</t>
        </is>
      </c>
      <c r="B9" s="3" t="inlineStr">
        <is>
          <t>Bélgica</t>
        </is>
      </c>
      <c r="C9" s="3" t="inlineStr">
        <is>
          <t>Portugal</t>
        </is>
      </c>
      <c r="D9" s="18" t="n"/>
      <c r="E9" s="18" t="n"/>
      <c r="F9" s="18" t="n"/>
      <c r="G9" s="18" t="n"/>
    </row>
    <row r="10">
      <c r="A10" s="3" t="inlineStr">
        <is>
          <t>Colombia</t>
        </is>
      </c>
      <c r="B10" s="3" t="inlineStr">
        <is>
          <t>Japón</t>
        </is>
      </c>
      <c r="C10" s="18" t="n"/>
      <c r="D10" s="18" t="n"/>
      <c r="E10" s="18" t="n"/>
      <c r="F10" s="18" t="n"/>
      <c r="G10" s="18" t="n"/>
    </row>
    <row r="11">
      <c r="A11" s="3" t="inlineStr">
        <is>
          <t>Croacia</t>
        </is>
      </c>
      <c r="B11" s="3" t="inlineStr">
        <is>
          <t>Noruega</t>
        </is>
      </c>
      <c r="C11" s="18" t="n"/>
      <c r="D11" s="18" t="n"/>
      <c r="E11" s="18" t="n"/>
      <c r="F11" s="18" t="n"/>
      <c r="G11" s="18" t="n"/>
    </row>
    <row r="12">
      <c r="A12" s="3" t="inlineStr">
        <is>
          <t>España</t>
        </is>
      </c>
      <c r="B12" s="3" t="inlineStr">
        <is>
          <t>México</t>
        </is>
      </c>
      <c r="C12" s="18" t="n"/>
      <c r="D12" s="18" t="n"/>
      <c r="E12" s="18" t="n"/>
      <c r="F12" s="18" t="n"/>
      <c r="G12" s="18" t="n"/>
    </row>
    <row r="13">
      <c r="A13" s="3" t="inlineStr">
        <is>
          <t>Argelia</t>
        </is>
      </c>
      <c r="B13" s="3" t="inlineStr">
        <is>
          <t>Inglaterra</t>
        </is>
      </c>
      <c r="C13" s="18" t="n"/>
      <c r="D13" s="18" t="n"/>
      <c r="E13" s="18" t="n"/>
      <c r="F13" s="18" t="n"/>
      <c r="G13" s="18" t="n"/>
    </row>
    <row r="14">
      <c r="A14" s="3" t="inlineStr">
        <is>
          <t>Turquía</t>
        </is>
      </c>
      <c r="B14" s="3" t="inlineStr">
        <is>
          <t>Argentina</t>
        </is>
      </c>
      <c r="C14" s="18" t="n"/>
      <c r="D14" s="18" t="n"/>
      <c r="E14" s="18" t="n"/>
      <c r="F14" s="18" t="n"/>
      <c r="G14" s="18" t="n"/>
    </row>
    <row r="15">
      <c r="A15" s="3" t="inlineStr">
        <is>
          <t>Canadá</t>
        </is>
      </c>
      <c r="B15" s="3" t="inlineStr">
        <is>
          <t>Paraguay</t>
        </is>
      </c>
      <c r="C15" s="18" t="n"/>
      <c r="D15" s="18" t="n"/>
      <c r="E15" s="18" t="n"/>
      <c r="F15" s="18" t="n"/>
      <c r="G15" s="18" t="n"/>
    </row>
    <row r="16">
      <c r="A16" s="3" t="inlineStr">
        <is>
          <t>Bélgica</t>
        </is>
      </c>
      <c r="B16" s="3" t="inlineStr">
        <is>
          <t>Suiza</t>
        </is>
      </c>
      <c r="C16" s="18" t="n"/>
      <c r="D16" s="18" t="n"/>
      <c r="E16" s="18" t="n"/>
      <c r="F16" s="18" t="n"/>
      <c r="G16" s="18" t="n"/>
    </row>
    <row r="17">
      <c r="A17" s="3" t="inlineStr">
        <is>
          <t>República Checa</t>
        </is>
      </c>
      <c r="B17" s="3" t="inlineStr">
        <is>
          <t>Portugal</t>
        </is>
      </c>
      <c r="C17" s="18" t="n"/>
      <c r="D17" s="18" t="n"/>
      <c r="E17" s="18" t="n"/>
      <c r="F17" s="18" t="n"/>
      <c r="G17" s="18" t="n"/>
    </row>
    <row r="18">
      <c r="A18" s="3" t="inlineStr">
        <is>
          <t>Brasil</t>
        </is>
      </c>
      <c r="B18" s="18" t="n"/>
      <c r="C18" s="18" t="n"/>
      <c r="D18" s="18" t="n"/>
      <c r="E18" s="18" t="n"/>
      <c r="F18" s="18" t="n"/>
      <c r="G18" s="18" t="n"/>
    </row>
    <row r="19">
      <c r="A19" s="3" t="inlineStr">
        <is>
          <t>Japón</t>
        </is>
      </c>
      <c r="B19" s="18" t="n"/>
      <c r="C19" s="18" t="n"/>
      <c r="D19" s="18" t="n"/>
      <c r="E19" s="18" t="n"/>
      <c r="F19" s="18" t="n"/>
      <c r="G19" s="18" t="n"/>
    </row>
    <row r="20">
      <c r="A20" s="3" t="inlineStr">
        <is>
          <t>Ecuador</t>
        </is>
      </c>
      <c r="B20" s="18" t="n"/>
      <c r="C20" s="18" t="n"/>
      <c r="D20" s="18" t="n"/>
      <c r="E20" s="18" t="n"/>
      <c r="F20" s="18" t="n"/>
      <c r="G20" s="18" t="n"/>
    </row>
    <row r="21">
      <c r="A21" s="3" t="inlineStr">
        <is>
          <t>Noruega</t>
        </is>
      </c>
      <c r="B21" s="18" t="n"/>
      <c r="C21" s="18" t="n"/>
      <c r="D21" s="18" t="n"/>
      <c r="E21" s="18" t="n"/>
      <c r="F21" s="18" t="n"/>
      <c r="G21" s="18" t="n"/>
    </row>
    <row r="22">
      <c r="A22" s="3" t="inlineStr">
        <is>
          <t>México</t>
        </is>
      </c>
      <c r="B22" s="18" t="n"/>
      <c r="C22" s="18" t="n"/>
      <c r="D22" s="18" t="n"/>
      <c r="E22" s="18" t="n"/>
      <c r="F22" s="18" t="n"/>
      <c r="G22" s="18" t="n"/>
    </row>
    <row r="23">
      <c r="A23" s="3" t="inlineStr">
        <is>
          <t>Escocia</t>
        </is>
      </c>
      <c r="B23" s="18" t="n"/>
      <c r="C23" s="18" t="n"/>
      <c r="D23" s="18" t="n"/>
      <c r="E23" s="18" t="n"/>
      <c r="F23" s="18" t="n"/>
      <c r="G23" s="18" t="n"/>
    </row>
    <row r="24">
      <c r="A24" s="3" t="inlineStr">
        <is>
          <t>Inglaterra</t>
        </is>
      </c>
      <c r="B24" s="18" t="n"/>
      <c r="C24" s="18" t="n"/>
      <c r="D24" s="18" t="n"/>
      <c r="E24" s="18" t="n"/>
      <c r="F24" s="18" t="n"/>
      <c r="G24" s="18" t="n"/>
    </row>
    <row r="25">
      <c r="A25" s="3" t="inlineStr">
        <is>
          <t>Senegal</t>
        </is>
      </c>
      <c r="B25" s="18" t="n"/>
      <c r="C25" s="18" t="n"/>
      <c r="D25" s="18" t="n"/>
      <c r="E25" s="18" t="n"/>
      <c r="F25" s="18" t="n"/>
      <c r="G25" s="18" t="n"/>
    </row>
    <row r="26">
      <c r="A26" s="3" t="inlineStr">
        <is>
          <t>Argentina</t>
        </is>
      </c>
      <c r="B26" s="18" t="n"/>
      <c r="C26" s="18" t="n"/>
      <c r="D26" s="18" t="n"/>
      <c r="E26" s="18" t="n"/>
      <c r="F26" s="18" t="n"/>
      <c r="G26" s="18" t="n"/>
    </row>
    <row r="27">
      <c r="A27" s="3" t="inlineStr">
        <is>
          <t>Uruguay</t>
        </is>
      </c>
      <c r="B27" s="18" t="n"/>
      <c r="C27" s="18" t="n"/>
      <c r="D27" s="18" t="n"/>
      <c r="E27" s="18" t="n"/>
      <c r="F27" s="18" t="n"/>
      <c r="G27" s="18" t="n"/>
    </row>
    <row r="28">
      <c r="A28" s="3" t="inlineStr">
        <is>
          <t>Paraguay</t>
        </is>
      </c>
      <c r="B28" s="18" t="n"/>
      <c r="C28" s="18" t="n"/>
      <c r="D28" s="18" t="n"/>
      <c r="E28" s="18" t="n"/>
      <c r="F28" s="18" t="n"/>
      <c r="G28" s="18" t="n"/>
    </row>
    <row r="29">
      <c r="A29" s="3" t="inlineStr">
        <is>
          <t>Irán</t>
        </is>
      </c>
      <c r="B29" s="18" t="n"/>
      <c r="C29" s="18" t="n"/>
      <c r="D29" s="18" t="n"/>
      <c r="E29" s="18" t="n"/>
      <c r="F29" s="18" t="n"/>
      <c r="G29" s="18" t="n"/>
    </row>
    <row r="30">
      <c r="A30" s="3" t="inlineStr">
        <is>
          <t>Suiza</t>
        </is>
      </c>
      <c r="B30" s="18" t="n"/>
      <c r="C30" s="18" t="n"/>
      <c r="D30" s="18" t="n"/>
      <c r="E30" s="18" t="n"/>
      <c r="F30" s="18" t="n"/>
      <c r="G30" s="18" t="n"/>
    </row>
    <row r="31">
      <c r="A31" s="3" t="inlineStr">
        <is>
          <t>Austria</t>
        </is>
      </c>
      <c r="B31" s="18" t="n"/>
      <c r="C31" s="18" t="n"/>
      <c r="D31" s="18" t="n"/>
      <c r="E31" s="18" t="n"/>
      <c r="F31" s="18" t="n"/>
      <c r="G31" s="18" t="n"/>
    </row>
    <row r="32">
      <c r="A32" s="3" t="inlineStr">
        <is>
          <t>Portugal</t>
        </is>
      </c>
      <c r="B32" s="18" t="n"/>
      <c r="C32" s="18" t="n"/>
      <c r="D32" s="18" t="n"/>
      <c r="E32" s="18" t="n"/>
      <c r="F32" s="18" t="n"/>
      <c r="G32" s="18" t="n"/>
    </row>
    <row r="33">
      <c r="A33" s="3" t="inlineStr">
        <is>
          <t>Ghana</t>
        </is>
      </c>
      <c r="B33" s="18" t="n"/>
      <c r="C33" s="18" t="n"/>
      <c r="D33" s="18" t="n"/>
      <c r="E33" s="18" t="n"/>
      <c r="F33" s="18" t="n"/>
      <c r="G33" s="18" t="n"/>
    </row>
  </sheetData>
  <autoFilter ref="A1:G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topLeftCell="A24" zoomScale="182" workbookViewId="0">
      <selection activeCell="E50" sqref="E50"/>
    </sheetView>
  </sheetViews>
  <sheetFormatPr baseColWidth="10" defaultRowHeight="15"/>
  <cols>
    <col width="20.1640625" bestFit="1" customWidth="1" min="2" max="3"/>
  </cols>
  <sheetData>
    <row r="1">
      <c r="A1" s="30" t="inlineStr">
        <is>
          <t>PARTIDOS DE DIECISEISAVOS</t>
        </is>
      </c>
      <c r="B1" s="28" t="n"/>
      <c r="C1" s="28" t="n"/>
      <c r="D1" s="28" t="n"/>
      <c r="E1" s="28" t="n"/>
      <c r="F1" s="28" t="n"/>
      <c r="G1" s="29" t="n"/>
    </row>
    <row r="2">
      <c r="A2" s="34" t="inlineStr">
        <is>
          <t>Partido</t>
        </is>
      </c>
      <c r="B2" s="34" t="inlineStr">
        <is>
          <t>Local</t>
        </is>
      </c>
      <c r="C2" s="34" t="inlineStr">
        <is>
          <t>Visitante</t>
        </is>
      </c>
      <c r="D2" s="34" t="inlineStr">
        <is>
          <t>G_Local</t>
        </is>
      </c>
      <c r="E2" s="34" t="inlineStr">
        <is>
          <t>G_Visitante</t>
        </is>
      </c>
      <c r="F2" s="34" t="inlineStr">
        <is>
          <t>Resultado</t>
        </is>
      </c>
      <c r="G2" s="1" t="inlineStr">
        <is>
          <t>Diferencia</t>
        </is>
      </c>
    </row>
    <row r="3">
      <c r="A3" s="34" t="n">
        <v>1</v>
      </c>
      <c r="B3" s="21" t="inlineStr">
        <is>
          <t>Alemania</t>
        </is>
      </c>
      <c r="C3" s="22" t="inlineStr">
        <is>
          <t>Paraguay</t>
        </is>
      </c>
      <c r="D3" s="3" t="n">
        <v>2</v>
      </c>
      <c r="E3" s="3" t="n">
        <v>0</v>
      </c>
      <c r="F3" s="34">
        <f>IF(D3&gt;E3,"Local",IF(D3=E3,"Empate","Visitante"))</f>
        <v/>
      </c>
      <c r="G3" s="1">
        <f>D3-E3</f>
        <v/>
      </c>
    </row>
    <row r="4">
      <c r="A4" s="34" t="n">
        <v>2</v>
      </c>
      <c r="B4" s="21" t="inlineStr">
        <is>
          <t>Francia</t>
        </is>
      </c>
      <c r="C4" s="22" t="inlineStr">
        <is>
          <t>Suecia</t>
        </is>
      </c>
      <c r="D4" s="3" t="n">
        <v>2</v>
      </c>
      <c r="E4" s="3" t="n">
        <v>0</v>
      </c>
      <c r="F4" s="34">
        <f>IF(D4&gt;E4,"Local",IF(D4=E4,"Empate","Visitante"))</f>
        <v/>
      </c>
      <c r="G4" s="1">
        <f>D4-E4</f>
        <v/>
      </c>
    </row>
    <row r="5">
      <c r="A5" s="34" t="n">
        <v>3</v>
      </c>
      <c r="B5" s="19" t="inlineStr">
        <is>
          <t>Sudáfrica</t>
        </is>
      </c>
      <c r="C5" s="20" t="inlineStr">
        <is>
          <t>Canadá</t>
        </is>
      </c>
      <c r="D5" s="3" t="n">
        <v>0</v>
      </c>
      <c r="E5" s="3" t="n">
        <v>2</v>
      </c>
      <c r="F5" s="34">
        <f>IF(D5&gt;E5,"Local",IF(D5=E5,"Empate","Visitante"))</f>
        <v/>
      </c>
      <c r="G5" s="1">
        <f>D5-E5</f>
        <v/>
      </c>
    </row>
    <row r="6">
      <c r="A6" s="34" t="n">
        <v>4</v>
      </c>
      <c r="B6" s="21" t="inlineStr">
        <is>
          <t>Países Bajos</t>
        </is>
      </c>
      <c r="C6" s="22" t="inlineStr">
        <is>
          <t>Marruecos</t>
        </is>
      </c>
      <c r="D6" s="3" t="n">
        <v>3</v>
      </c>
      <c r="E6" s="3" t="n">
        <v>2</v>
      </c>
      <c r="F6" s="34">
        <f>IF(D6&gt;E6,"Local",IF(D6=E6,"Empate","Visitante"))</f>
        <v/>
      </c>
      <c r="G6" s="1">
        <f>D6-E6</f>
        <v/>
      </c>
    </row>
    <row r="7">
      <c r="A7" s="34" t="n">
        <v>5</v>
      </c>
      <c r="B7" s="21" t="inlineStr">
        <is>
          <t>Portugal</t>
        </is>
      </c>
      <c r="C7" s="22" t="inlineStr">
        <is>
          <t>Croacia</t>
        </is>
      </c>
      <c r="D7" s="3" t="n">
        <v>2</v>
      </c>
      <c r="E7" s="3" t="n">
        <v>1</v>
      </c>
      <c r="F7" s="34">
        <f>IF(D7&gt;E7,"Local",IF(D7=E7,"Empate","Visitante"))</f>
        <v/>
      </c>
      <c r="G7" s="1">
        <f>D7-E7</f>
        <v/>
      </c>
    </row>
    <row r="8">
      <c r="A8" s="34" t="n">
        <v>6</v>
      </c>
      <c r="B8" s="21" t="inlineStr">
        <is>
          <t>España</t>
        </is>
      </c>
      <c r="C8" s="22" t="inlineStr">
        <is>
          <t>Austria</t>
        </is>
      </c>
      <c r="D8" s="3" t="n">
        <v>2</v>
      </c>
      <c r="E8" s="3" t="n">
        <v>0</v>
      </c>
      <c r="F8" s="34">
        <f>IF(D8&gt;E8,"Local",IF(D8=E8,"Empate","Visitante"))</f>
        <v/>
      </c>
      <c r="G8" s="1">
        <f>D8-E8</f>
        <v/>
      </c>
    </row>
    <row r="9">
      <c r="A9" s="34" t="n">
        <v>7</v>
      </c>
      <c r="B9" s="21" t="inlineStr">
        <is>
          <t>Estados Unidos</t>
        </is>
      </c>
      <c r="C9" s="22" t="inlineStr">
        <is>
          <t>Bosnia y Herzegovina</t>
        </is>
      </c>
      <c r="D9" s="3" t="n">
        <v>3</v>
      </c>
      <c r="E9" s="3" t="n">
        <v>1</v>
      </c>
      <c r="F9" s="34">
        <f>IF(D9&gt;E9,"Local",IF(D9=E9,"Empate","Visitante"))</f>
        <v/>
      </c>
      <c r="G9" s="1">
        <f>D9-E9</f>
        <v/>
      </c>
    </row>
    <row r="10">
      <c r="A10" s="34" t="n">
        <v>8</v>
      </c>
      <c r="B10" s="21" t="inlineStr">
        <is>
          <t>Bélgica</t>
        </is>
      </c>
      <c r="C10" s="22" t="inlineStr">
        <is>
          <t>Senegal</t>
        </is>
      </c>
      <c r="D10" s="3" t="n">
        <v>2</v>
      </c>
      <c r="E10" s="3" t="n">
        <v>0</v>
      </c>
      <c r="F10" s="34">
        <f>IF(D10&gt;E10,"Local",IF(D10=E10,"Empate","Visitante"))</f>
        <v/>
      </c>
      <c r="G10" s="1">
        <f>D10-E10</f>
        <v/>
      </c>
    </row>
    <row r="11">
      <c r="A11" s="34" t="n">
        <v>9</v>
      </c>
      <c r="B11" s="21" t="inlineStr">
        <is>
          <t>Brasil</t>
        </is>
      </c>
      <c r="C11" s="22" t="inlineStr">
        <is>
          <t>Japón</t>
        </is>
      </c>
      <c r="D11" s="3" t="n">
        <v>1</v>
      </c>
      <c r="E11" s="3" t="n">
        <v>2</v>
      </c>
      <c r="F11" s="34">
        <f>IF(D11&gt;E11,"Local",IF(D11=E11,"Empate","Visitante"))</f>
        <v/>
      </c>
      <c r="G11" s="1">
        <f>D11-E11</f>
        <v/>
      </c>
    </row>
    <row r="12">
      <c r="A12" s="34" t="n">
        <v>10</v>
      </c>
      <c r="B12" s="21" t="inlineStr">
        <is>
          <t>Costa de Marfil</t>
        </is>
      </c>
      <c r="C12" s="22" t="inlineStr">
        <is>
          <t>Noruega</t>
        </is>
      </c>
      <c r="D12" s="3" t="n">
        <v>1</v>
      </c>
      <c r="E12" s="3" t="n">
        <v>2</v>
      </c>
      <c r="F12" s="34">
        <f>IF(D12&gt;E12,"Local",IF(D12=E12,"Empate","Visitante"))</f>
        <v/>
      </c>
      <c r="G12" s="1">
        <f>D12-E12</f>
        <v/>
      </c>
    </row>
    <row r="13">
      <c r="A13" s="34" t="n">
        <v>11</v>
      </c>
      <c r="B13" s="21" t="inlineStr">
        <is>
          <t>México</t>
        </is>
      </c>
      <c r="C13" s="22" t="inlineStr">
        <is>
          <t>Ecuador</t>
        </is>
      </c>
      <c r="D13" s="3" t="n">
        <v>0</v>
      </c>
      <c r="E13" s="3" t="n">
        <v>0</v>
      </c>
      <c r="F13" s="34">
        <f>IF(D13&gt;E13,"Local",IF(D13=E13,"Empate","Visitante"))</f>
        <v/>
      </c>
      <c r="G13" s="1">
        <f>D13-E13</f>
        <v/>
      </c>
    </row>
    <row r="14">
      <c r="A14" s="34" t="n">
        <v>12</v>
      </c>
      <c r="B14" s="21" t="inlineStr">
        <is>
          <t>Inglaterra</t>
        </is>
      </c>
      <c r="C14" s="22" t="inlineStr">
        <is>
          <t>RD Congo</t>
        </is>
      </c>
      <c r="D14" s="3" t="n">
        <v>3</v>
      </c>
      <c r="E14" s="3" t="n">
        <v>1</v>
      </c>
      <c r="F14" s="34">
        <f>IF(D14&gt;E14,"Local",IF(D14=E14,"Empate","Visitante"))</f>
        <v/>
      </c>
      <c r="G14" s="1">
        <f>D14-E14</f>
        <v/>
      </c>
    </row>
    <row r="15">
      <c r="A15" s="34" t="n">
        <v>13</v>
      </c>
      <c r="B15" s="21" t="inlineStr">
        <is>
          <t>Argentina</t>
        </is>
      </c>
      <c r="C15" s="22" t="inlineStr">
        <is>
          <t>Cabo Verde</t>
        </is>
      </c>
      <c r="D15" s="3" t="n">
        <v>3</v>
      </c>
      <c r="E15" s="3" t="n">
        <v>0</v>
      </c>
      <c r="F15" s="34">
        <f>IF(D15&gt;E15,"Local",IF(D15=E15,"Empate","Visitante"))</f>
        <v/>
      </c>
      <c r="G15" s="1">
        <f>D15-E15</f>
        <v/>
      </c>
    </row>
    <row r="16">
      <c r="A16" s="34" t="n">
        <v>14</v>
      </c>
      <c r="B16" s="21" t="inlineStr">
        <is>
          <t>Australia</t>
        </is>
      </c>
      <c r="C16" s="22" t="inlineStr">
        <is>
          <t>Egipto</t>
        </is>
      </c>
      <c r="D16" s="3" t="n">
        <v>1</v>
      </c>
      <c r="E16" s="3" t="n">
        <v>1</v>
      </c>
      <c r="F16" s="34">
        <f>IF(D16&gt;E16,"Local",IF(D16=E16,"Empate","Visitante"))</f>
        <v/>
      </c>
      <c r="G16" s="1">
        <f>D16-E16</f>
        <v/>
      </c>
    </row>
    <row r="17">
      <c r="A17" s="34" t="n">
        <v>15</v>
      </c>
      <c r="B17" s="21" t="inlineStr">
        <is>
          <t>Suiza</t>
        </is>
      </c>
      <c r="C17" s="22" t="inlineStr">
        <is>
          <t>Argelia</t>
        </is>
      </c>
      <c r="D17" s="3" t="n">
        <v>2</v>
      </c>
      <c r="E17" s="3" t="n">
        <v>0</v>
      </c>
      <c r="F17" s="34">
        <f>IF(D17&gt;E17,"Local",IF(D17=E17,"Empate","Visitante"))</f>
        <v/>
      </c>
      <c r="G17" s="1">
        <f>D17-E17</f>
        <v/>
      </c>
    </row>
    <row r="18">
      <c r="A18" s="34" t="n">
        <v>16</v>
      </c>
      <c r="B18" s="21" t="inlineStr">
        <is>
          <t>Colombia</t>
        </is>
      </c>
      <c r="C18" s="22" t="inlineStr">
        <is>
          <t>Ghana</t>
        </is>
      </c>
      <c r="D18" s="3" t="n">
        <v>2</v>
      </c>
      <c r="E18" s="3" t="n">
        <v>1</v>
      </c>
      <c r="F18" s="34">
        <f>IF(D18&gt;E18,"Local",IF(D18=E18,"Empate","Visitante"))</f>
        <v/>
      </c>
      <c r="G18" s="1">
        <f>D18-E18</f>
        <v/>
      </c>
    </row>
    <row r="20">
      <c r="A20" s="30" t="inlineStr">
        <is>
          <t>PARTIDOS DE OCTAVOS DE FINAL</t>
        </is>
      </c>
      <c r="B20" s="28" t="n"/>
      <c r="C20" s="28" t="n"/>
      <c r="D20" s="28" t="n"/>
      <c r="E20" s="28" t="n"/>
      <c r="F20" s="28" t="n"/>
      <c r="G20" s="29" t="n"/>
    </row>
    <row r="21">
      <c r="A21" s="23" t="inlineStr">
        <is>
          <t>Partido</t>
        </is>
      </c>
      <c r="B21" s="23" t="inlineStr">
        <is>
          <t>Local</t>
        </is>
      </c>
      <c r="C21" s="23" t="inlineStr">
        <is>
          <t>Visitante</t>
        </is>
      </c>
      <c r="D21" s="23" t="inlineStr">
        <is>
          <t>G_Local</t>
        </is>
      </c>
      <c r="E21" s="23" t="inlineStr">
        <is>
          <t>G_Visitante</t>
        </is>
      </c>
      <c r="F21" s="23" t="inlineStr">
        <is>
          <t>Resultado</t>
        </is>
      </c>
      <c r="G21" s="1" t="inlineStr">
        <is>
          <t>Diferencia</t>
        </is>
      </c>
    </row>
    <row r="22">
      <c r="A22" s="34" t="n">
        <v>1</v>
      </c>
      <c r="B22" s="22" t="inlineStr">
        <is>
          <t>Paraguay</t>
        </is>
      </c>
      <c r="C22" s="22" t="inlineStr">
        <is>
          <t>Francia</t>
        </is>
      </c>
      <c r="D22" s="3" t="n">
        <v>0</v>
      </c>
      <c r="E22" s="3" t="n">
        <v>3</v>
      </c>
      <c r="F22" s="34">
        <f>IF(D22&gt;E22,"Local",IF(D22=E22,"Empate","Visitante"))</f>
        <v/>
      </c>
      <c r="G22" s="1">
        <f>D22-E22</f>
        <v/>
      </c>
    </row>
    <row r="23">
      <c r="A23" s="34" t="n">
        <v>2</v>
      </c>
      <c r="B23" s="22" t="inlineStr">
        <is>
          <t>Canadá</t>
        </is>
      </c>
      <c r="C23" s="22" t="inlineStr">
        <is>
          <t>Marruecos</t>
        </is>
      </c>
      <c r="D23" s="3" t="n">
        <v>0</v>
      </c>
      <c r="E23" s="3" t="n">
        <v>2</v>
      </c>
      <c r="F23" s="34">
        <f>IF(D23&gt;E23,"Local",IF(D23=E23,"Empate","Visitante"))</f>
        <v/>
      </c>
      <c r="G23" s="1">
        <f>D23-E23</f>
        <v/>
      </c>
    </row>
    <row r="24">
      <c r="A24" s="34" t="n">
        <v>3</v>
      </c>
      <c r="B24" s="22" t="inlineStr">
        <is>
          <t>Portugal</t>
        </is>
      </c>
      <c r="C24" s="22" t="inlineStr">
        <is>
          <t>España</t>
        </is>
      </c>
      <c r="D24" s="3" t="n">
        <v>0</v>
      </c>
      <c r="E24" s="3" t="n">
        <v>2</v>
      </c>
      <c r="F24" s="34">
        <f>IF(D24&gt;E24,"Local",IF(D24=E24,"Empate","Visitante"))</f>
        <v/>
      </c>
      <c r="G24" s="1">
        <f>D24-E24</f>
        <v/>
      </c>
    </row>
    <row r="25">
      <c r="A25" s="34" t="n">
        <v>4</v>
      </c>
      <c r="B25" s="22" t="inlineStr">
        <is>
          <t>Estados Unidos</t>
        </is>
      </c>
      <c r="C25" s="22" t="inlineStr">
        <is>
          <t>Bélgica</t>
        </is>
      </c>
      <c r="D25" s="3" t="n">
        <v>2</v>
      </c>
      <c r="E25" s="3" t="n">
        <v>2</v>
      </c>
      <c r="F25" s="34">
        <f>IF(D25&gt;E25,"Local",IF(D25=E25,"Empate","Visitante"))</f>
        <v/>
      </c>
      <c r="G25" s="1">
        <f>D25-E25</f>
        <v/>
      </c>
    </row>
    <row r="26">
      <c r="A26" s="34" t="n">
        <v>5</v>
      </c>
      <c r="B26" s="22" t="inlineStr">
        <is>
          <t>Brasil</t>
        </is>
      </c>
      <c r="C26" s="22" t="inlineStr">
        <is>
          <t>Noruega</t>
        </is>
      </c>
      <c r="D26" s="3" t="n">
        <v>2</v>
      </c>
      <c r="E26" s="3" t="n">
        <v>1</v>
      </c>
      <c r="F26" s="34">
        <f>IF(D26&gt;E26,"Local",IF(D26=E26,"Empate","Visitante"))</f>
        <v/>
      </c>
      <c r="G26" s="1">
        <f>D26-E26</f>
        <v/>
      </c>
    </row>
    <row r="27">
      <c r="A27" s="34" t="n">
        <v>6</v>
      </c>
      <c r="B27" s="22" t="inlineStr">
        <is>
          <t>México</t>
        </is>
      </c>
      <c r="C27" s="22" t="inlineStr">
        <is>
          <t>Inglaterra</t>
        </is>
      </c>
      <c r="D27" s="3" t="n">
        <v>1</v>
      </c>
      <c r="E27" s="3" t="n">
        <v>0</v>
      </c>
      <c r="F27" s="34">
        <f>IF(D27&gt;E27,"Local",IF(D27=E27,"Empate","Visitante"))</f>
        <v/>
      </c>
      <c r="G27" s="1">
        <f>D27-E27</f>
        <v/>
      </c>
    </row>
    <row r="28">
      <c r="A28" s="34" t="n">
        <v>7</v>
      </c>
      <c r="B28" s="22" t="inlineStr">
        <is>
          <t>Argentina</t>
        </is>
      </c>
      <c r="C28" s="22" t="inlineStr">
        <is>
          <t>Egipto</t>
        </is>
      </c>
      <c r="D28" s="3" t="n">
        <v>2</v>
      </c>
      <c r="E28" s="3" t="n">
        <v>1</v>
      </c>
      <c r="F28" s="34">
        <f>IF(D28&gt;E28,"Local",IF(D28=E28,"Empate","Visitante"))</f>
        <v/>
      </c>
      <c r="G28" s="1">
        <f>D28-E28</f>
        <v/>
      </c>
    </row>
    <row r="29">
      <c r="A29" s="34" t="n">
        <v>8</v>
      </c>
      <c r="B29" s="22" t="inlineStr">
        <is>
          <t>Suiza</t>
        </is>
      </c>
      <c r="C29" s="22" t="inlineStr">
        <is>
          <t>Colombia</t>
        </is>
      </c>
      <c r="D29" s="3" t="n">
        <v>1</v>
      </c>
      <c r="E29" s="3" t="n">
        <v>1</v>
      </c>
      <c r="F29" s="34">
        <f>IF(D29&gt;E29,"Local",IF(D29=E29,"Empate","Visitante"))</f>
        <v/>
      </c>
      <c r="G29" s="1">
        <f>D29-E29</f>
        <v/>
      </c>
    </row>
    <row r="31">
      <c r="A31" s="30" t="inlineStr">
        <is>
          <t>PARTIDOS DE CUARTOS DE FINAL</t>
        </is>
      </c>
      <c r="B31" s="28" t="n"/>
      <c r="C31" s="28" t="n"/>
      <c r="D31" s="28" t="n"/>
      <c r="E31" s="28" t="n"/>
      <c r="F31" s="28" t="n"/>
      <c r="G31" s="29" t="n"/>
    </row>
    <row r="32">
      <c r="A32" s="23" t="inlineStr">
        <is>
          <t>Partido</t>
        </is>
      </c>
      <c r="B32" s="23" t="inlineStr">
        <is>
          <t>Local</t>
        </is>
      </c>
      <c r="C32" s="23" t="inlineStr">
        <is>
          <t>Visitante</t>
        </is>
      </c>
      <c r="D32" s="23" t="inlineStr">
        <is>
          <t>G_Local</t>
        </is>
      </c>
      <c r="E32" s="23" t="inlineStr">
        <is>
          <t>G_Visitante</t>
        </is>
      </c>
      <c r="F32" s="23" t="inlineStr">
        <is>
          <t>Resultado</t>
        </is>
      </c>
      <c r="G32" s="1" t="inlineStr">
        <is>
          <t>Diferencia</t>
        </is>
      </c>
    </row>
    <row r="33">
      <c r="A33" s="34" t="n">
        <v>1</v>
      </c>
      <c r="B33" s="22" t="inlineStr">
        <is>
          <t>Francia</t>
        </is>
      </c>
      <c r="C33" s="22" t="inlineStr">
        <is>
          <t>Marruecos</t>
        </is>
      </c>
      <c r="D33" s="3" t="n">
        <v>2</v>
      </c>
      <c r="E33" s="3" t="n">
        <v>0</v>
      </c>
      <c r="F33" s="34">
        <f>IF(D33&gt;E33,"Local",IF(D33=E33,"Empate","Visitante"))</f>
        <v/>
      </c>
      <c r="G33" s="1">
        <f>D33-E33</f>
        <v/>
      </c>
    </row>
    <row r="34">
      <c r="A34" s="34" t="n">
        <v>2</v>
      </c>
      <c r="B34" s="22" t="inlineStr">
        <is>
          <t>España</t>
        </is>
      </c>
      <c r="C34" s="22" t="inlineStr">
        <is>
          <t>Bélgica</t>
        </is>
      </c>
      <c r="D34" s="3" t="n">
        <v>1</v>
      </c>
      <c r="E34" s="3" t="n">
        <v>0</v>
      </c>
      <c r="F34" s="34">
        <f>IF(D34&gt;E34,"Local",IF(D34=E34,"Empate","Visitante"))</f>
        <v/>
      </c>
      <c r="G34" s="1">
        <f>D34-E34</f>
        <v/>
      </c>
    </row>
    <row r="35">
      <c r="A35" s="34" t="n">
        <v>3</v>
      </c>
      <c r="B35" s="22" t="inlineStr">
        <is>
          <t>Noruega</t>
        </is>
      </c>
      <c r="C35" s="22" t="inlineStr">
        <is>
          <t>Inglaterra</t>
        </is>
      </c>
      <c r="D35" s="3" t="n">
        <v>1</v>
      </c>
      <c r="E35" s="3" t="n">
        <v>2</v>
      </c>
      <c r="F35" s="34">
        <f>IF(D35&gt;E35,"Local",IF(D35=E35,"Empate","Visitante"))</f>
        <v/>
      </c>
      <c r="G35" s="1">
        <f>D35-E35</f>
        <v/>
      </c>
    </row>
    <row r="36">
      <c r="A36" s="34" t="n">
        <v>4</v>
      </c>
      <c r="B36" s="22" t="inlineStr">
        <is>
          <t>Argentina</t>
        </is>
      </c>
      <c r="C36" s="22" t="inlineStr">
        <is>
          <t>Suiza</t>
        </is>
      </c>
      <c r="D36" s="3" t="n">
        <v>3</v>
      </c>
      <c r="E36" s="3" t="n">
        <v>2</v>
      </c>
      <c r="F36" s="34">
        <f>IF(D36&gt;E36,"Local",IF(D36=E36,"Empate","Visitante"))</f>
        <v/>
      </c>
      <c r="G36" s="1">
        <f>D36-E36</f>
        <v/>
      </c>
    </row>
    <row r="38">
      <c r="A38" s="30" t="inlineStr">
        <is>
          <t>PARTIDOS DE SEMIFINAL</t>
        </is>
      </c>
      <c r="B38" s="28" t="n"/>
      <c r="C38" s="28" t="n"/>
      <c r="D38" s="28" t="n"/>
      <c r="E38" s="28" t="n"/>
      <c r="F38" s="28" t="n"/>
      <c r="G38" s="29" t="n"/>
    </row>
    <row r="39">
      <c r="A39" s="23" t="inlineStr">
        <is>
          <t>Partido</t>
        </is>
      </c>
      <c r="B39" s="23" t="inlineStr">
        <is>
          <t>Local</t>
        </is>
      </c>
      <c r="C39" s="23" t="inlineStr">
        <is>
          <t>Visitante</t>
        </is>
      </c>
      <c r="D39" s="23" t="inlineStr">
        <is>
          <t>G_Local</t>
        </is>
      </c>
      <c r="E39" s="23" t="inlineStr">
        <is>
          <t>G_Visitante</t>
        </is>
      </c>
      <c r="F39" s="23" t="inlineStr">
        <is>
          <t>Resultado</t>
        </is>
      </c>
      <c r="G39" s="1" t="inlineStr">
        <is>
          <t>Diferencia</t>
        </is>
      </c>
    </row>
    <row r="40">
      <c r="A40" s="34" t="n">
        <v>1</v>
      </c>
      <c r="B40" s="34" t="inlineStr">
        <is>
          <t>Francia</t>
        </is>
      </c>
      <c r="C40" s="34" t="inlineStr">
        <is>
          <t>España</t>
        </is>
      </c>
      <c r="D40" s="3" t="n">
        <v>2</v>
      </c>
      <c r="E40" s="3" t="n">
        <v>1</v>
      </c>
      <c r="F40" s="34">
        <f>IF(D40&gt;E40,"Local",IF(D40=E40,"Empate","Visitante"))</f>
        <v/>
      </c>
      <c r="G40" s="1">
        <f>D40-E40</f>
        <v/>
      </c>
    </row>
    <row r="41">
      <c r="A41" s="34" t="n">
        <v>2</v>
      </c>
      <c r="B41" s="34" t="inlineStr">
        <is>
          <t>Inglaterra</t>
        </is>
      </c>
      <c r="C41" s="34" t="inlineStr">
        <is>
          <t>Argentina</t>
        </is>
      </c>
      <c r="D41" s="3" t="n">
        <v>2</v>
      </c>
      <c r="E41" s="3" t="n">
        <v>2</v>
      </c>
      <c r="F41" s="34">
        <f>IF(D41&gt;E41,"Local",IF(D41=E41,"Empate","Visitante"))</f>
        <v/>
      </c>
      <c r="G41" s="1">
        <f>D41-E41</f>
        <v/>
      </c>
    </row>
    <row r="43">
      <c r="A43" s="30" t="inlineStr">
        <is>
          <t>PARTIDOS DE TERCEROS</t>
        </is>
      </c>
      <c r="B43" s="28" t="n"/>
      <c r="C43" s="28" t="n"/>
      <c r="D43" s="28" t="n"/>
      <c r="E43" s="28" t="n"/>
      <c r="F43" s="28" t="n"/>
      <c r="G43" s="29" t="n"/>
    </row>
    <row r="44">
      <c r="A44" s="23" t="inlineStr">
        <is>
          <t>Partido</t>
        </is>
      </c>
      <c r="B44" s="23" t="inlineStr">
        <is>
          <t>Local</t>
        </is>
      </c>
      <c r="C44" s="23" t="inlineStr">
        <is>
          <t>Visitante</t>
        </is>
      </c>
      <c r="D44" s="23" t="inlineStr">
        <is>
          <t>G_Local</t>
        </is>
      </c>
      <c r="E44" s="23" t="inlineStr">
        <is>
          <t>G_Visitante</t>
        </is>
      </c>
      <c r="F44" s="23" t="inlineStr">
        <is>
          <t>Resultado</t>
        </is>
      </c>
      <c r="G44" s="1" t="inlineStr">
        <is>
          <t>Diferencia</t>
        </is>
      </c>
    </row>
    <row r="45">
      <c r="A45" s="34" t="n">
        <v>1</v>
      </c>
      <c r="B45" s="34" t="inlineStr">
        <is>
          <t>Francia</t>
        </is>
      </c>
      <c r="C45" s="34" t="inlineStr">
        <is>
          <t>Inglaterra</t>
        </is>
      </c>
      <c r="D45" s="3" t="n">
        <v>4</v>
      </c>
      <c r="E45" s="3" t="n">
        <v>2</v>
      </c>
      <c r="F45" s="34">
        <f>IF(D45&gt;E45,"Local",IF(D45=E45,"Empate","Visitante"))</f>
        <v/>
      </c>
      <c r="G45" s="1">
        <f>D45-E45</f>
        <v/>
      </c>
    </row>
    <row r="47">
      <c r="A47" s="27" t="inlineStr">
        <is>
          <t>PARTIDOS DE FINAL</t>
        </is>
      </c>
      <c r="B47" s="28" t="n"/>
      <c r="C47" s="28" t="n"/>
      <c r="D47" s="28" t="n"/>
      <c r="E47" s="28" t="n"/>
      <c r="F47" s="28" t="n"/>
      <c r="G47" s="29" t="n"/>
    </row>
    <row r="48">
      <c r="A48" s="23" t="inlineStr">
        <is>
          <t>Partido</t>
        </is>
      </c>
      <c r="B48" s="23" t="inlineStr">
        <is>
          <t>Local</t>
        </is>
      </c>
      <c r="C48" s="23" t="inlineStr">
        <is>
          <t>Visitante</t>
        </is>
      </c>
      <c r="D48" s="23" t="inlineStr">
        <is>
          <t>G_Local</t>
        </is>
      </c>
      <c r="E48" s="23" t="inlineStr">
        <is>
          <t>G_Visitante</t>
        </is>
      </c>
      <c r="F48" s="23" t="inlineStr">
        <is>
          <t>Resultado</t>
        </is>
      </c>
      <c r="G48" s="1" t="inlineStr">
        <is>
          <t>Diferencia</t>
        </is>
      </c>
    </row>
    <row r="49">
      <c r="A49" s="34" t="n">
        <v>1</v>
      </c>
      <c r="B49" s="34" t="inlineStr">
        <is>
          <t>España</t>
        </is>
      </c>
      <c r="C49" s="34" t="inlineStr">
        <is>
          <t>Argentina</t>
        </is>
      </c>
      <c r="D49" s="3" t="n">
        <v>2</v>
      </c>
      <c r="E49" s="3" t="n">
        <v>1</v>
      </c>
      <c r="F49" s="34">
        <f>IF(D49&gt;E49,"Local",IF(D49=E49,"Empate","Visitante"))</f>
        <v/>
      </c>
      <c r="G49" s="1">
        <f>D49-E49</f>
        <v/>
      </c>
    </row>
  </sheetData>
  <mergeCells count="6">
    <mergeCell ref="A1:G1"/>
    <mergeCell ref="A31:G31"/>
    <mergeCell ref="A20:G20"/>
    <mergeCell ref="A38:G38"/>
    <mergeCell ref="A43:G43"/>
    <mergeCell ref="A47:G47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73"/>
  <sheetViews>
    <sheetView topLeftCell="A18" zoomScale="125" zoomScaleNormal="270" workbookViewId="0">
      <selection activeCell="I51" sqref="I51"/>
    </sheetView>
  </sheetViews>
  <sheetFormatPr baseColWidth="10" defaultRowHeight="15"/>
  <cols>
    <col width="20.1640625" bestFit="1" customWidth="1" min="3" max="4"/>
    <col width="20.1640625" bestFit="1" customWidth="1" min="12" max="12"/>
    <col hidden="1" width="13" customWidth="1" min="20" max="29"/>
  </cols>
  <sheetData>
    <row r="1">
      <c r="A1" s="34" t="inlineStr">
        <is>
          <t>Partido</t>
        </is>
      </c>
      <c r="B1" s="34" t="inlineStr">
        <is>
          <t>Grupo</t>
        </is>
      </c>
      <c r="C1" s="34" t="inlineStr">
        <is>
          <t>Local</t>
        </is>
      </c>
      <c r="D1" s="34" t="inlineStr">
        <is>
          <t>Visitante</t>
        </is>
      </c>
      <c r="E1" s="34" t="inlineStr">
        <is>
          <t>G_Local</t>
        </is>
      </c>
      <c r="F1" s="34" t="inlineStr">
        <is>
          <t>G_Visitante</t>
        </is>
      </c>
      <c r="G1" s="34" t="inlineStr">
        <is>
          <t>Resultado</t>
        </is>
      </c>
      <c r="H1" s="1" t="inlineStr">
        <is>
          <t>Diferencia</t>
        </is>
      </c>
      <c r="I1" s="1" t="n"/>
      <c r="J1" s="6" t="inlineStr">
        <is>
          <t>Grupo</t>
        </is>
      </c>
      <c r="K1" s="6" t="inlineStr">
        <is>
          <t>Posición</t>
        </is>
      </c>
      <c r="L1" s="34" t="inlineStr">
        <is>
          <t>Equipo</t>
        </is>
      </c>
      <c r="M1" s="34" t="inlineStr">
        <is>
          <t>Puntos</t>
        </is>
      </c>
      <c r="N1" s="34" t="inlineStr">
        <is>
          <t>Diferencia</t>
        </is>
      </c>
      <c r="O1" s="34" t="inlineStr">
        <is>
          <t>GF</t>
        </is>
      </c>
      <c r="P1" s="5" t="inlineStr">
        <is>
          <t>GC</t>
        </is>
      </c>
      <c r="Q1" s="5" t="inlineStr">
        <is>
          <t>Victorias</t>
        </is>
      </c>
      <c r="R1" s="5" t="inlineStr">
        <is>
          <t>Empates</t>
        </is>
      </c>
      <c r="S1" s="5" t="inlineStr">
        <is>
          <t>Derrotas</t>
        </is>
      </c>
      <c r="T1" s="5" t="inlineStr">
        <is>
          <t>Victorias_L</t>
        </is>
      </c>
      <c r="U1" s="5" t="inlineStr">
        <is>
          <t>Victorias_V</t>
        </is>
      </c>
      <c r="V1" s="5" t="inlineStr">
        <is>
          <t>Empates_L</t>
        </is>
      </c>
      <c r="W1" s="5" t="inlineStr">
        <is>
          <t>Empates_V</t>
        </is>
      </c>
      <c r="X1" s="5" t="inlineStr">
        <is>
          <t>Derrotas_L</t>
        </is>
      </c>
      <c r="Y1" s="5" t="inlineStr">
        <is>
          <t>Derrotas_V</t>
        </is>
      </c>
      <c r="Z1" s="5" t="inlineStr">
        <is>
          <t>GF_L</t>
        </is>
      </c>
      <c r="AA1" s="5" t="inlineStr">
        <is>
          <t>GF_V</t>
        </is>
      </c>
      <c r="AB1" s="5" t="inlineStr">
        <is>
          <t>GC_L</t>
        </is>
      </c>
      <c r="AC1" s="5" t="inlineStr">
        <is>
          <t>GC_V</t>
        </is>
      </c>
    </row>
    <row r="2">
      <c r="A2" s="34" t="n">
        <v>1</v>
      </c>
      <c r="B2" s="34" t="inlineStr">
        <is>
          <t>A</t>
        </is>
      </c>
      <c r="C2" s="34" t="inlineStr">
        <is>
          <t>México</t>
        </is>
      </c>
      <c r="D2" s="34" t="inlineStr">
        <is>
          <t>Sudáfrica</t>
        </is>
      </c>
      <c r="E2" s="3" t="n">
        <v>2</v>
      </c>
      <c r="F2" s="3" t="n">
        <v>0</v>
      </c>
      <c r="G2" s="34">
        <f t="array" ref="G2">_xlfn.IFS(E2&gt;F2,"Local",E2=F2,"Empate",E2&lt;F2,"Visitante")</f>
        <v/>
      </c>
      <c r="H2" s="1">
        <f>E2-F2</f>
        <v/>
      </c>
      <c r="I2" s="1" t="n"/>
      <c r="J2" s="34" t="inlineStr">
        <is>
          <t>A</t>
        </is>
      </c>
      <c r="K2" s="34" t="n"/>
      <c r="L2" s="34" t="inlineStr">
        <is>
          <t>México</t>
        </is>
      </c>
      <c r="M2" s="3">
        <f>(Q2*3)+R2</f>
        <v/>
      </c>
      <c r="N2" s="3">
        <f>O2-P2</f>
        <v/>
      </c>
      <c r="O2" s="3">
        <f>Z2+AA2</f>
        <v/>
      </c>
      <c r="P2" s="3">
        <f>AB2+AC2</f>
        <v/>
      </c>
      <c r="Q2" s="34">
        <f>T2+U2</f>
        <v/>
      </c>
      <c r="R2" s="34">
        <f>V2+W2</f>
        <v/>
      </c>
      <c r="S2" s="34">
        <f>X2+Y2</f>
        <v/>
      </c>
      <c r="T2" s="34">
        <f>COUNTIFS(C:C,L2,G:G,"Local")</f>
        <v/>
      </c>
      <c r="U2" s="34">
        <f>COUNTIFS(D:D,L2,G:G,"Visitante")</f>
        <v/>
      </c>
      <c r="V2" s="34">
        <f>COUNTIFS(C:C,L2,G:G,"Empate")</f>
        <v/>
      </c>
      <c r="W2" s="34">
        <f>COUNTIFS(D:D,L2,G:G,"Empate")</f>
        <v/>
      </c>
      <c r="X2" s="34">
        <f>COUNTIFS(C:C,L2,G:G,"Visitante")</f>
        <v/>
      </c>
      <c r="Y2" s="34">
        <f>COUNTIFS(D:D,L2,G:G,"Local")</f>
        <v/>
      </c>
      <c r="Z2" s="34">
        <f>SUMIF(C:C,L2,E:E)</f>
        <v/>
      </c>
      <c r="AA2" s="34">
        <f>SUMIF(D:D,L2,F:F)</f>
        <v/>
      </c>
      <c r="AB2" s="34">
        <f>SUMIF(C:C,L2,F:F)</f>
        <v/>
      </c>
      <c r="AC2" s="34">
        <f>SUMIF(D:D,L2,E:E)</f>
        <v/>
      </c>
    </row>
    <row r="3">
      <c r="A3" s="34" t="n">
        <v>2</v>
      </c>
      <c r="B3" s="34" t="inlineStr">
        <is>
          <t>A</t>
        </is>
      </c>
      <c r="C3" s="34" t="inlineStr">
        <is>
          <t>Corea del Sur</t>
        </is>
      </c>
      <c r="D3" s="34" t="inlineStr">
        <is>
          <t>República Checa</t>
        </is>
      </c>
      <c r="E3" s="3" t="n">
        <v>2</v>
      </c>
      <c r="F3" s="3" t="n">
        <v>1</v>
      </c>
      <c r="G3" s="34">
        <f t="array" ref="G3">_xlfn.IFS(E3&gt;F3,"Local",E3=F3,"Empate",E3&lt;F3,"Visitante")</f>
        <v/>
      </c>
      <c r="H3" s="1">
        <f>E3-F3</f>
        <v/>
      </c>
      <c r="I3" s="1" t="n"/>
      <c r="J3" s="32" t="n"/>
      <c r="K3" s="34" t="n"/>
      <c r="L3" s="34" t="inlineStr">
        <is>
          <t>Sudáfrica</t>
        </is>
      </c>
      <c r="M3" s="3">
        <f>(Q3*3)+R3</f>
        <v/>
      </c>
      <c r="N3" s="3">
        <f>O3-P3</f>
        <v/>
      </c>
      <c r="O3" s="3">
        <f>Z3+AA3</f>
        <v/>
      </c>
      <c r="P3" s="3">
        <f>AB3+AC3</f>
        <v/>
      </c>
      <c r="Q3" s="34">
        <f>T3+U3</f>
        <v/>
      </c>
      <c r="R3" s="34">
        <f>V3+W3</f>
        <v/>
      </c>
      <c r="S3" s="34">
        <f>X3+Y3</f>
        <v/>
      </c>
      <c r="T3" s="34">
        <f>COUNTIFS(C:C,L3,G:G,"Local")</f>
        <v/>
      </c>
      <c r="U3" s="34">
        <f>COUNTIFS(D:D,L3,G:G,"Visitante")</f>
        <v/>
      </c>
      <c r="V3" s="34">
        <f>COUNTIFS(C:C,L3,G:G,"Empate")</f>
        <v/>
      </c>
      <c r="W3" s="34">
        <f>COUNTIFS(D:D,L3,G:G,"Empate")</f>
        <v/>
      </c>
      <c r="X3" s="34">
        <f>COUNTIFS(C:C,L3,G:G,"Visitante")</f>
        <v/>
      </c>
      <c r="Y3" s="34">
        <f>COUNTIFS(D:D,L3,G:G,"Local")</f>
        <v/>
      </c>
      <c r="Z3" s="34">
        <f>SUMIF(C:C,L3,E:E)</f>
        <v/>
      </c>
      <c r="AA3" s="34">
        <f>SUMIF(D:D,L3,F:F)</f>
        <v/>
      </c>
      <c r="AB3" s="34">
        <f>SUMIF(C:C,L3,F:F)</f>
        <v/>
      </c>
      <c r="AC3" s="34">
        <f>SUMIF(D:D,L3,E:E)</f>
        <v/>
      </c>
    </row>
    <row r="4">
      <c r="A4" s="34" t="n">
        <v>3</v>
      </c>
      <c r="B4" s="34" t="inlineStr">
        <is>
          <t>A</t>
        </is>
      </c>
      <c r="C4" s="34" t="inlineStr">
        <is>
          <t>República Checa</t>
        </is>
      </c>
      <c r="D4" s="34" t="inlineStr">
        <is>
          <t>Sudáfrica</t>
        </is>
      </c>
      <c r="E4" s="3" t="n">
        <v>1</v>
      </c>
      <c r="F4" s="3" t="n">
        <v>1</v>
      </c>
      <c r="G4" s="34">
        <f t="array" ref="G4">_xlfn.IFS(E4&gt;F4,"Local",E4=F4,"Empate",E4&lt;F4,"Visitante")</f>
        <v/>
      </c>
      <c r="H4" s="1">
        <f>E4-F4</f>
        <v/>
      </c>
      <c r="I4" s="1" t="n"/>
      <c r="J4" s="32" t="n"/>
      <c r="K4" s="34" t="n"/>
      <c r="L4" s="34" t="inlineStr">
        <is>
          <t>Corea del Sur</t>
        </is>
      </c>
      <c r="M4" s="3">
        <f>(Q4*3)+R4</f>
        <v/>
      </c>
      <c r="N4" s="3">
        <f>O4-P4</f>
        <v/>
      </c>
      <c r="O4" s="3">
        <f>Z4+AA4</f>
        <v/>
      </c>
      <c r="P4" s="3">
        <f>AB4+AC4</f>
        <v/>
      </c>
      <c r="Q4" s="34">
        <f>T4+U4</f>
        <v/>
      </c>
      <c r="R4" s="34">
        <f>V4+W4</f>
        <v/>
      </c>
      <c r="S4" s="34">
        <f>X4+Y4</f>
        <v/>
      </c>
      <c r="T4" s="34">
        <f>COUNTIFS(C:C,L4,G:G,"Local")</f>
        <v/>
      </c>
      <c r="U4" s="34">
        <f>COUNTIFS(D:D,L4,G:G,"Visitante")</f>
        <v/>
      </c>
      <c r="V4" s="34">
        <f>COUNTIFS(C:C,L4,G:G,"Empate")</f>
        <v/>
      </c>
      <c r="W4" s="34">
        <f>COUNTIFS(D:D,L4,G:G,"Empate")</f>
        <v/>
      </c>
      <c r="X4" s="34">
        <f>COUNTIFS(C:C,L4,G:G,"Visitante")</f>
        <v/>
      </c>
      <c r="Y4" s="34">
        <f>COUNTIFS(D:D,L4,G:G,"Local")</f>
        <v/>
      </c>
      <c r="Z4" s="34">
        <f>SUMIF(C:C,L4,E:E)</f>
        <v/>
      </c>
      <c r="AA4" s="34">
        <f>SUMIF(D:D,L4,F:F)</f>
        <v/>
      </c>
      <c r="AB4" s="34">
        <f>SUMIF(C:C,L4,F:F)</f>
        <v/>
      </c>
      <c r="AC4" s="34">
        <f>SUMIF(D:D,L4,E:E)</f>
        <v/>
      </c>
    </row>
    <row r="5">
      <c r="A5" s="34" t="n">
        <v>4</v>
      </c>
      <c r="B5" s="34" t="inlineStr">
        <is>
          <t>A</t>
        </is>
      </c>
      <c r="C5" s="34" t="inlineStr">
        <is>
          <t>México</t>
        </is>
      </c>
      <c r="D5" s="34" t="inlineStr">
        <is>
          <t>Corea del Sur</t>
        </is>
      </c>
      <c r="E5" s="3" t="n">
        <v>1</v>
      </c>
      <c r="F5" s="3" t="n">
        <v>0</v>
      </c>
      <c r="G5" s="34">
        <f t="array" ref="G5">_xlfn.IFS(E5&gt;F5,"Local",E5=F5,"Empate",E5&lt;F5,"Visitante")</f>
        <v/>
      </c>
      <c r="H5" s="1">
        <f>E5-F5</f>
        <v/>
      </c>
      <c r="I5" s="1" t="n"/>
      <c r="J5" s="33" t="n"/>
      <c r="K5" s="34" t="n"/>
      <c r="L5" s="34" t="inlineStr">
        <is>
          <t>República Checa</t>
        </is>
      </c>
      <c r="M5" s="3">
        <f>(Q5*3)+R5</f>
        <v/>
      </c>
      <c r="N5" s="3">
        <f>O5-P5</f>
        <v/>
      </c>
      <c r="O5" s="3">
        <f>Z5+AA5</f>
        <v/>
      </c>
      <c r="P5" s="3">
        <f>AB5+AC5</f>
        <v/>
      </c>
      <c r="Q5" s="34">
        <f>T5+U5</f>
        <v/>
      </c>
      <c r="R5" s="34">
        <f>V5+W5</f>
        <v/>
      </c>
      <c r="S5" s="34">
        <f>X5+Y5</f>
        <v/>
      </c>
      <c r="T5" s="34">
        <f>COUNTIFS(C:C,L5,G:G,"Local")</f>
        <v/>
      </c>
      <c r="U5" s="34">
        <f>COUNTIFS(D:D,L5,G:G,"Visitante")</f>
        <v/>
      </c>
      <c r="V5" s="34">
        <f>COUNTIFS(C:C,L5,G:G,"Empate")</f>
        <v/>
      </c>
      <c r="W5" s="34">
        <f>COUNTIFS(D:D,L5,G:G,"Empate")</f>
        <v/>
      </c>
      <c r="X5" s="34">
        <f>COUNTIFS(C:C,L5,G:G,"Visitante")</f>
        <v/>
      </c>
      <c r="Y5" s="34">
        <f>COUNTIFS(D:D,L5,G:G,"Local")</f>
        <v/>
      </c>
      <c r="Z5" s="34">
        <f>SUMIF(C:C,L5,E:E)</f>
        <v/>
      </c>
      <c r="AA5" s="34">
        <f>SUMIF(D:D,L5,F:F)</f>
        <v/>
      </c>
      <c r="AB5" s="34">
        <f>SUMIF(C:C,L5,F:F)</f>
        <v/>
      </c>
      <c r="AC5" s="34">
        <f>SUMIF(D:D,L5,E:E)</f>
        <v/>
      </c>
    </row>
    <row r="6">
      <c r="A6" s="34" t="n">
        <v>5</v>
      </c>
      <c r="B6" s="34" t="inlineStr">
        <is>
          <t>A</t>
        </is>
      </c>
      <c r="C6" s="34" t="inlineStr">
        <is>
          <t>República Checa</t>
        </is>
      </c>
      <c r="D6" s="34" t="inlineStr">
        <is>
          <t>México</t>
        </is>
      </c>
      <c r="E6" s="3" t="n">
        <v>0</v>
      </c>
      <c r="F6" s="3" t="n">
        <v>3</v>
      </c>
      <c r="G6" s="34">
        <f t="array" ref="G6">_xlfn.IFS(E6&gt;F6,"Local",E6=F6,"Empate",E6&lt;F6,"Visitante")</f>
        <v/>
      </c>
      <c r="H6" s="1">
        <f>E6-F6</f>
        <v/>
      </c>
      <c r="I6" s="1" t="n"/>
      <c r="J6" s="1" t="n"/>
    </row>
    <row r="7">
      <c r="A7" s="34" t="n">
        <v>6</v>
      </c>
      <c r="B7" s="34" t="inlineStr">
        <is>
          <t>A</t>
        </is>
      </c>
      <c r="C7" s="34" t="inlineStr">
        <is>
          <t>Sudáfrica</t>
        </is>
      </c>
      <c r="D7" s="34" t="inlineStr">
        <is>
          <t>Corea del Sur</t>
        </is>
      </c>
      <c r="E7" s="3" t="n">
        <v>1</v>
      </c>
      <c r="F7" s="3" t="n">
        <v>0</v>
      </c>
      <c r="G7" s="34">
        <f t="array" ref="G7">_xlfn.IFS(E7&gt;F7,"Local",E7=F7,"Empate",E7&lt;F7,"Visitante")</f>
        <v/>
      </c>
      <c r="H7" s="1">
        <f>E7-F7</f>
        <v/>
      </c>
      <c r="I7" s="1" t="n"/>
      <c r="J7" s="6" t="inlineStr">
        <is>
          <t>Grupo</t>
        </is>
      </c>
      <c r="K7" s="6" t="inlineStr">
        <is>
          <t>Posición</t>
        </is>
      </c>
      <c r="L7" s="34" t="inlineStr">
        <is>
          <t>Equipo</t>
        </is>
      </c>
      <c r="M7" s="34" t="inlineStr">
        <is>
          <t>Puntos</t>
        </is>
      </c>
      <c r="N7" s="34" t="inlineStr">
        <is>
          <t>Diferencia</t>
        </is>
      </c>
      <c r="O7" s="34" t="inlineStr">
        <is>
          <t>GF</t>
        </is>
      </c>
      <c r="P7" s="5" t="inlineStr">
        <is>
          <t>GC</t>
        </is>
      </c>
      <c r="Q7" s="5" t="inlineStr">
        <is>
          <t>Victorias</t>
        </is>
      </c>
      <c r="R7" s="5" t="inlineStr">
        <is>
          <t>Empates</t>
        </is>
      </c>
      <c r="S7" s="5" t="inlineStr">
        <is>
          <t>Derrotas</t>
        </is>
      </c>
      <c r="T7" s="5" t="inlineStr">
        <is>
          <t>Victorias_L</t>
        </is>
      </c>
      <c r="U7" s="5" t="inlineStr">
        <is>
          <t>Victorias_V</t>
        </is>
      </c>
      <c r="V7" s="5" t="inlineStr">
        <is>
          <t>Empates_L</t>
        </is>
      </c>
      <c r="W7" s="5" t="inlineStr">
        <is>
          <t>Empates_V</t>
        </is>
      </c>
      <c r="X7" s="5" t="inlineStr">
        <is>
          <t>Derrotas_L</t>
        </is>
      </c>
      <c r="Y7" s="5" t="inlineStr">
        <is>
          <t>Derrotas_V</t>
        </is>
      </c>
      <c r="Z7" s="5" t="inlineStr">
        <is>
          <t>GF_L</t>
        </is>
      </c>
      <c r="AA7" s="5" t="inlineStr">
        <is>
          <t>GF_V</t>
        </is>
      </c>
      <c r="AB7" s="5" t="inlineStr">
        <is>
          <t>GC_L</t>
        </is>
      </c>
      <c r="AC7" s="5" t="inlineStr">
        <is>
          <t>GC_V</t>
        </is>
      </c>
    </row>
    <row r="8">
      <c r="A8" s="34" t="n">
        <v>7</v>
      </c>
      <c r="B8" s="34" t="inlineStr">
        <is>
          <t>B</t>
        </is>
      </c>
      <c r="C8" s="34" t="inlineStr">
        <is>
          <t>Canadá</t>
        </is>
      </c>
      <c r="D8" s="34" t="inlineStr">
        <is>
          <t>Bosnia y Herzegovina</t>
        </is>
      </c>
      <c r="E8" s="3" t="n">
        <v>1</v>
      </c>
      <c r="F8" s="3" t="n">
        <v>1</v>
      </c>
      <c r="G8" s="34">
        <f t="array" ref="G8">_xlfn.IFS(E8&gt;F8,"Local",E8=F8,"Empate",E8&lt;F8,"Visitante")</f>
        <v/>
      </c>
      <c r="H8" s="1">
        <f>E8-F8</f>
        <v/>
      </c>
      <c r="I8" s="1" t="n"/>
      <c r="J8" s="34" t="inlineStr">
        <is>
          <t>B</t>
        </is>
      </c>
      <c r="K8" s="34" t="n"/>
      <c r="L8" s="34" t="inlineStr">
        <is>
          <t>Canadá</t>
        </is>
      </c>
      <c r="M8" s="3">
        <f>(Q8*3)+R8</f>
        <v/>
      </c>
      <c r="N8" s="3">
        <f>O8-P8</f>
        <v/>
      </c>
      <c r="O8" s="3">
        <f>Z8+AA8</f>
        <v/>
      </c>
      <c r="P8" s="3">
        <f>AB8+AC8</f>
        <v/>
      </c>
      <c r="Q8" s="34">
        <f>T8+U8</f>
        <v/>
      </c>
      <c r="R8" s="34">
        <f>V8+W8</f>
        <v/>
      </c>
      <c r="S8" s="34">
        <f>X8+Y8</f>
        <v/>
      </c>
      <c r="T8" s="34">
        <f>COUNTIFS(C:C,L8,G:G,"Local")</f>
        <v/>
      </c>
      <c r="U8" s="34">
        <f>COUNTIFS(D:D,L8,G:G,"Visitante")</f>
        <v/>
      </c>
      <c r="V8" s="34">
        <f>COUNTIFS(C:C,L8,G:G,"Empate")</f>
        <v/>
      </c>
      <c r="W8" s="34">
        <f>COUNTIFS(D:D,L8,G:G,"Empate")</f>
        <v/>
      </c>
      <c r="X8" s="34">
        <f>COUNTIFS(C:C,L8,G:G,"Visitante")</f>
        <v/>
      </c>
      <c r="Y8" s="34">
        <f>COUNTIFS(D:D,L8,G:G,"Local")</f>
        <v/>
      </c>
      <c r="Z8" s="34">
        <f>SUMIF(C:C,L8,E:E)</f>
        <v/>
      </c>
      <c r="AA8" s="34">
        <f>SUMIF(D:D,L8,F:F)</f>
        <v/>
      </c>
      <c r="AB8" s="34">
        <f>SUMIF(C:C,L8,F:F)</f>
        <v/>
      </c>
      <c r="AC8" s="34">
        <f>SUMIF(D:D,L8,E:E)</f>
        <v/>
      </c>
    </row>
    <row r="9">
      <c r="A9" s="34" t="n">
        <v>8</v>
      </c>
      <c r="B9" s="34" t="inlineStr">
        <is>
          <t>B</t>
        </is>
      </c>
      <c r="C9" s="34" t="inlineStr">
        <is>
          <t>Catar</t>
        </is>
      </c>
      <c r="D9" s="34" t="inlineStr">
        <is>
          <t>Suiza</t>
        </is>
      </c>
      <c r="E9" s="3" t="n">
        <v>1</v>
      </c>
      <c r="F9" s="3" t="n">
        <v>1</v>
      </c>
      <c r="G9" s="34">
        <f t="array" ref="G9">_xlfn.IFS(E9&gt;F9,"Local",E9=F9,"Empate",E9&lt;F9,"Visitante")</f>
        <v/>
      </c>
      <c r="H9" s="1">
        <f>E9-F9</f>
        <v/>
      </c>
      <c r="I9" s="1" t="n"/>
      <c r="J9" s="32" t="n"/>
      <c r="K9" s="34" t="n"/>
      <c r="L9" s="34" t="inlineStr">
        <is>
          <t>Bosnia y Herzegovina</t>
        </is>
      </c>
      <c r="M9" s="3">
        <f>(Q9*3)+R9</f>
        <v/>
      </c>
      <c r="N9" s="3">
        <f>O9-P9</f>
        <v/>
      </c>
      <c r="O9" s="3">
        <f>Z9+AA9</f>
        <v/>
      </c>
      <c r="P9" s="3">
        <f>AB9+AC9</f>
        <v/>
      </c>
      <c r="Q9" s="34">
        <f>T9+U9</f>
        <v/>
      </c>
      <c r="R9" s="34">
        <f>V9+W9</f>
        <v/>
      </c>
      <c r="S9" s="34">
        <f>X9+Y9</f>
        <v/>
      </c>
      <c r="T9" s="34">
        <f>COUNTIFS(C:C,L9,G:G,"Local")</f>
        <v/>
      </c>
      <c r="U9" s="34">
        <f>COUNTIFS(D:D,L9,G:G,"Visitante")</f>
        <v/>
      </c>
      <c r="V9" s="34">
        <f>COUNTIFS(C:C,L9,G:G,"Empate")</f>
        <v/>
      </c>
      <c r="W9" s="34">
        <f>COUNTIFS(D:D,L9,G:G,"Empate")</f>
        <v/>
      </c>
      <c r="X9" s="34">
        <f>COUNTIFS(C:C,L9,G:G,"Visitante")</f>
        <v/>
      </c>
      <c r="Y9" s="34">
        <f>COUNTIFS(D:D,L9,G:G,"Local")</f>
        <v/>
      </c>
      <c r="Z9" s="34">
        <f>SUMIF(C:C,L9,E:E)</f>
        <v/>
      </c>
      <c r="AA9" s="34">
        <f>SUMIF(D:D,L9,F:F)</f>
        <v/>
      </c>
      <c r="AB9" s="34">
        <f>SUMIF(C:C,L9,F:F)</f>
        <v/>
      </c>
      <c r="AC9" s="34">
        <f>SUMIF(D:D,L9,E:E)</f>
        <v/>
      </c>
    </row>
    <row r="10">
      <c r="A10" s="34" t="n">
        <v>9</v>
      </c>
      <c r="B10" s="34" t="inlineStr">
        <is>
          <t>B</t>
        </is>
      </c>
      <c r="C10" s="34" t="inlineStr">
        <is>
          <t>Suiza</t>
        </is>
      </c>
      <c r="D10" s="34" t="inlineStr">
        <is>
          <t>Bosnia y Herzegovina</t>
        </is>
      </c>
      <c r="E10" s="3" t="n">
        <v>4</v>
      </c>
      <c r="F10" s="3" t="n">
        <v>1</v>
      </c>
      <c r="G10" s="34">
        <f t="array" ref="G10">_xlfn.IFS(E10&gt;F10,"Local",E10=F10,"Empate",E10&lt;F10,"Visitante")</f>
        <v/>
      </c>
      <c r="H10" s="1">
        <f>E10-F10</f>
        <v/>
      </c>
      <c r="I10" s="1" t="n"/>
      <c r="J10" s="32" t="n"/>
      <c r="K10" s="34" t="n"/>
      <c r="L10" s="34" t="inlineStr">
        <is>
          <t>Catar</t>
        </is>
      </c>
      <c r="M10" s="3">
        <f>(Q10*3)+R10</f>
        <v/>
      </c>
      <c r="N10" s="3">
        <f>O10-P10</f>
        <v/>
      </c>
      <c r="O10" s="3">
        <f>Z10+AA10</f>
        <v/>
      </c>
      <c r="P10" s="3">
        <f>AB10+AC10</f>
        <v/>
      </c>
      <c r="Q10" s="34">
        <f>T10+U10</f>
        <v/>
      </c>
      <c r="R10" s="34">
        <f>V10+W10</f>
        <v/>
      </c>
      <c r="S10" s="34">
        <f>X10+Y10</f>
        <v/>
      </c>
      <c r="T10" s="34">
        <f>COUNTIFS(C:C,L10,G:G,"Local")</f>
        <v/>
      </c>
      <c r="U10" s="34">
        <f>COUNTIFS(D:D,L10,G:G,"Visitante")</f>
        <v/>
      </c>
      <c r="V10" s="34">
        <f>COUNTIFS(C:C,L10,G:G,"Empate")</f>
        <v/>
      </c>
      <c r="W10" s="34">
        <f>COUNTIFS(D:D,L10,G:G,"Empate")</f>
        <v/>
      </c>
      <c r="X10" s="34">
        <f>COUNTIFS(C:C,L10,G:G,"Visitante")</f>
        <v/>
      </c>
      <c r="Y10" s="34">
        <f>COUNTIFS(D:D,L10,G:G,"Local")</f>
        <v/>
      </c>
      <c r="Z10" s="34">
        <f>SUMIF(C:C,L10,E:E)</f>
        <v/>
      </c>
      <c r="AA10" s="34">
        <f>SUMIF(D:D,L10,F:F)</f>
        <v/>
      </c>
      <c r="AB10" s="34">
        <f>SUMIF(C:C,L10,F:F)</f>
        <v/>
      </c>
      <c r="AC10" s="34">
        <f>SUMIF(D:D,L10,E:E)</f>
        <v/>
      </c>
    </row>
    <row r="11">
      <c r="A11" s="34" t="n">
        <v>10</v>
      </c>
      <c r="B11" s="34" t="inlineStr">
        <is>
          <t>B</t>
        </is>
      </c>
      <c r="C11" s="34" t="inlineStr">
        <is>
          <t>Canadá</t>
        </is>
      </c>
      <c r="D11" s="34" t="inlineStr">
        <is>
          <t>Catar</t>
        </is>
      </c>
      <c r="E11" s="3" t="n">
        <v>6</v>
      </c>
      <c r="F11" s="3" t="n">
        <v>0</v>
      </c>
      <c r="G11" s="34">
        <f t="array" ref="G11">_xlfn.IFS(E11&gt;F11,"Local",E11=F11,"Empate",E11&lt;F11,"Visitante")</f>
        <v/>
      </c>
      <c r="H11" s="1">
        <f>E11-F11</f>
        <v/>
      </c>
      <c r="J11" s="33" t="n"/>
      <c r="K11" s="34" t="n"/>
      <c r="L11" s="34" t="inlineStr">
        <is>
          <t>Suiza</t>
        </is>
      </c>
      <c r="M11" s="3">
        <f>(Q11*3)+R11</f>
        <v/>
      </c>
      <c r="N11" s="3">
        <f>O11-P11</f>
        <v/>
      </c>
      <c r="O11" s="3">
        <f>Z11+AA11</f>
        <v/>
      </c>
      <c r="P11" s="3">
        <f>AB11+AC11</f>
        <v/>
      </c>
      <c r="Q11" s="34">
        <f>T11+U11</f>
        <v/>
      </c>
      <c r="R11" s="34">
        <f>V11+W11</f>
        <v/>
      </c>
      <c r="S11" s="34">
        <f>X11+Y11</f>
        <v/>
      </c>
      <c r="T11" s="34">
        <f>COUNTIFS(C:C,L11,G:G,"Local")</f>
        <v/>
      </c>
      <c r="U11" s="34">
        <f>COUNTIFS(D:D,L11,G:G,"Visitante")</f>
        <v/>
      </c>
      <c r="V11" s="34">
        <f>COUNTIFS(C:C,L11,G:G,"Empate")</f>
        <v/>
      </c>
      <c r="W11" s="34">
        <f>COUNTIFS(D:D,L11,G:G,"Empate")</f>
        <v/>
      </c>
      <c r="X11" s="34">
        <f>COUNTIFS(C:C,L11,G:G,"Visitante")</f>
        <v/>
      </c>
      <c r="Y11" s="34">
        <f>COUNTIFS(D:D,L11,G:G,"Local")</f>
        <v/>
      </c>
      <c r="Z11" s="34">
        <f>SUMIF(C:C,L11,E:E)</f>
        <v/>
      </c>
      <c r="AA11" s="34">
        <f>SUMIF(D:D,L11,F:F)</f>
        <v/>
      </c>
      <c r="AB11" s="34">
        <f>SUMIF(C:C,L11,F:F)</f>
        <v/>
      </c>
      <c r="AC11" s="34">
        <f>SUMIF(D:D,L11,E:E)</f>
        <v/>
      </c>
    </row>
    <row r="12">
      <c r="A12" s="34" t="n">
        <v>11</v>
      </c>
      <c r="B12" s="34" t="inlineStr">
        <is>
          <t>B</t>
        </is>
      </c>
      <c r="C12" s="34" t="inlineStr">
        <is>
          <t>Suiza</t>
        </is>
      </c>
      <c r="D12" s="34" t="inlineStr">
        <is>
          <t>Canadá</t>
        </is>
      </c>
      <c r="E12" s="3" t="n">
        <v>2</v>
      </c>
      <c r="F12" s="3" t="n">
        <v>1</v>
      </c>
      <c r="G12" s="34">
        <f t="array" ref="G12">_xlfn.IFS(E12&gt;F12,"Local",E12=F12,"Empate",E12&lt;F12,"Visitante")</f>
        <v/>
      </c>
      <c r="H12" s="1">
        <f>E12-F12</f>
        <v/>
      </c>
    </row>
    <row r="13">
      <c r="A13" s="34" t="n">
        <v>12</v>
      </c>
      <c r="B13" s="34" t="inlineStr">
        <is>
          <t>B</t>
        </is>
      </c>
      <c r="C13" s="34" t="inlineStr">
        <is>
          <t>Bosnia y Herzegovina</t>
        </is>
      </c>
      <c r="D13" s="34" t="inlineStr">
        <is>
          <t>Catar</t>
        </is>
      </c>
      <c r="E13" s="3" t="n">
        <v>3</v>
      </c>
      <c r="F13" s="3" t="n">
        <v>1</v>
      </c>
      <c r="G13" s="34">
        <f t="array" ref="G13">_xlfn.IFS(E13&gt;F13,"Local",E13=F13,"Empate",E13&lt;F13,"Visitante")</f>
        <v/>
      </c>
      <c r="H13" s="1">
        <f>E13-F13</f>
        <v/>
      </c>
      <c r="J13" s="6" t="inlineStr">
        <is>
          <t>Grupo</t>
        </is>
      </c>
      <c r="K13" s="6" t="inlineStr">
        <is>
          <t>Posición</t>
        </is>
      </c>
      <c r="L13" s="34" t="inlineStr">
        <is>
          <t>Equipo</t>
        </is>
      </c>
      <c r="M13" s="34" t="inlineStr">
        <is>
          <t>Puntos</t>
        </is>
      </c>
      <c r="N13" s="34" t="inlineStr">
        <is>
          <t>Diferencia</t>
        </is>
      </c>
      <c r="O13" s="34" t="inlineStr">
        <is>
          <t>GF</t>
        </is>
      </c>
      <c r="P13" s="5" t="inlineStr">
        <is>
          <t>GC</t>
        </is>
      </c>
      <c r="Q13" s="5" t="inlineStr">
        <is>
          <t>Victorias</t>
        </is>
      </c>
      <c r="R13" s="5" t="inlineStr">
        <is>
          <t>Empates</t>
        </is>
      </c>
      <c r="S13" s="5" t="inlineStr">
        <is>
          <t>Derrotas</t>
        </is>
      </c>
      <c r="T13" s="5" t="inlineStr">
        <is>
          <t>Victorias_L</t>
        </is>
      </c>
      <c r="U13" s="5" t="inlineStr">
        <is>
          <t>Victorias_V</t>
        </is>
      </c>
      <c r="V13" s="5" t="inlineStr">
        <is>
          <t>Empates_L</t>
        </is>
      </c>
      <c r="W13" s="5" t="inlineStr">
        <is>
          <t>Empates_V</t>
        </is>
      </c>
      <c r="X13" s="5" t="inlineStr">
        <is>
          <t>Derrotas_L</t>
        </is>
      </c>
      <c r="Y13" s="5" t="inlineStr">
        <is>
          <t>Derrotas_V</t>
        </is>
      </c>
      <c r="Z13" s="5" t="inlineStr">
        <is>
          <t>GF_L</t>
        </is>
      </c>
      <c r="AA13" s="5" t="inlineStr">
        <is>
          <t>GF_V</t>
        </is>
      </c>
      <c r="AB13" s="5" t="inlineStr">
        <is>
          <t>GC_L</t>
        </is>
      </c>
      <c r="AC13" s="5" t="inlineStr">
        <is>
          <t>GC_V</t>
        </is>
      </c>
    </row>
    <row r="14">
      <c r="A14" s="34" t="n">
        <v>13</v>
      </c>
      <c r="B14" s="34" t="inlineStr">
        <is>
          <t>C</t>
        </is>
      </c>
      <c r="C14" s="34" t="inlineStr">
        <is>
          <t>Brasil</t>
        </is>
      </c>
      <c r="D14" s="34" t="inlineStr">
        <is>
          <t>Marruecos</t>
        </is>
      </c>
      <c r="E14" s="3" t="n">
        <v>1</v>
      </c>
      <c r="F14" s="3" t="n">
        <v>1</v>
      </c>
      <c r="G14" s="34">
        <f t="array" ref="G14">_xlfn.IFS(E14&gt;F14,"Local",E14=F14,"Empate",E14&lt;F14,"Visitante")</f>
        <v/>
      </c>
      <c r="H14" s="1">
        <f>E14-F14</f>
        <v/>
      </c>
      <c r="J14" s="34" t="inlineStr">
        <is>
          <t>C</t>
        </is>
      </c>
      <c r="K14" s="34" t="n"/>
      <c r="L14" s="34" t="inlineStr">
        <is>
          <t>Brasil</t>
        </is>
      </c>
      <c r="M14" s="3">
        <f>(Q14*3)+R14</f>
        <v/>
      </c>
      <c r="N14" s="3">
        <f>O14-P14</f>
        <v/>
      </c>
      <c r="O14" s="3">
        <f>Z14+AA14</f>
        <v/>
      </c>
      <c r="P14" s="3">
        <f>AB14+AC14</f>
        <v/>
      </c>
      <c r="Q14" s="34">
        <f>T14+U14</f>
        <v/>
      </c>
      <c r="R14" s="34">
        <f>V14+W14</f>
        <v/>
      </c>
      <c r="S14" s="34">
        <f>X14+Y14</f>
        <v/>
      </c>
      <c r="T14" s="34">
        <f>COUNTIFS(C:C,L14,G:G,"Local")</f>
        <v/>
      </c>
      <c r="U14" s="34">
        <f>COUNTIFS(D:D,L14,G:G,"Visitante")</f>
        <v/>
      </c>
      <c r="V14" s="34">
        <f>COUNTIFS(C:C,L14,G:G,"Empate")</f>
        <v/>
      </c>
      <c r="W14" s="34">
        <f>COUNTIFS(D:D,L14,G:G,"Empate")</f>
        <v/>
      </c>
      <c r="X14" s="34">
        <f>COUNTIFS(C:C,L14,G:G,"Visitante")</f>
        <v/>
      </c>
      <c r="Y14" s="34">
        <f>COUNTIFS(D:D,L14,G:G,"Local")</f>
        <v/>
      </c>
      <c r="Z14" s="34">
        <f>SUMIF(C:C,L14,E:E)</f>
        <v/>
      </c>
      <c r="AA14" s="34">
        <f>SUMIF(D:D,L14,F:F)</f>
        <v/>
      </c>
      <c r="AB14" s="34">
        <f>SUMIF(C:C,L14,F:F)</f>
        <v/>
      </c>
      <c r="AC14" s="34">
        <f>SUMIF(D:D,L14,E:E)</f>
        <v/>
      </c>
    </row>
    <row r="15">
      <c r="A15" s="34" t="n">
        <v>14</v>
      </c>
      <c r="B15" s="34" t="inlineStr">
        <is>
          <t>C</t>
        </is>
      </c>
      <c r="C15" s="34" t="inlineStr">
        <is>
          <t>Haití</t>
        </is>
      </c>
      <c r="D15" s="34" t="inlineStr">
        <is>
          <t>Escocia</t>
        </is>
      </c>
      <c r="E15" s="3" t="n">
        <v>0</v>
      </c>
      <c r="F15" s="3" t="n">
        <v>1</v>
      </c>
      <c r="G15" s="34">
        <f t="array" ref="G15">_xlfn.IFS(E15&gt;F15,"Local",E15=F15,"Empate",E15&lt;F15,"Visitante")</f>
        <v/>
      </c>
      <c r="H15" s="1">
        <f>E15-F15</f>
        <v/>
      </c>
      <c r="J15" s="32" t="n"/>
      <c r="K15" s="34" t="n"/>
      <c r="L15" s="34" t="inlineStr">
        <is>
          <t>Marruecos</t>
        </is>
      </c>
      <c r="M15" s="3">
        <f>(Q15*3)+R15</f>
        <v/>
      </c>
      <c r="N15" s="3">
        <f>O15-P15</f>
        <v/>
      </c>
      <c r="O15" s="3">
        <f>Z15+AA15</f>
        <v/>
      </c>
      <c r="P15" s="3">
        <f>AB15+AC15</f>
        <v/>
      </c>
      <c r="Q15" s="34">
        <f>T15+U15</f>
        <v/>
      </c>
      <c r="R15" s="34">
        <f>V15+W15</f>
        <v/>
      </c>
      <c r="S15" s="34">
        <f>X15+Y15</f>
        <v/>
      </c>
      <c r="T15" s="34">
        <f>COUNTIFS(C:C,L15,G:G,"Local")</f>
        <v/>
      </c>
      <c r="U15" s="34">
        <f>COUNTIFS(D:D,L15,G:G,"Visitante")</f>
        <v/>
      </c>
      <c r="V15" s="34">
        <f>COUNTIFS(C:C,L15,G:G,"Empate")</f>
        <v/>
      </c>
      <c r="W15" s="34">
        <f>COUNTIFS(D:D,L15,G:G,"Empate")</f>
        <v/>
      </c>
      <c r="X15" s="34">
        <f>COUNTIFS(C:C,L15,G:G,"Visitante")</f>
        <v/>
      </c>
      <c r="Y15" s="34">
        <f>COUNTIFS(D:D,L15,G:G,"Local")</f>
        <v/>
      </c>
      <c r="Z15" s="34">
        <f>SUMIF(C:C,L15,E:E)</f>
        <v/>
      </c>
      <c r="AA15" s="34">
        <f>SUMIF(D:D,L15,F:F)</f>
        <v/>
      </c>
      <c r="AB15" s="34">
        <f>SUMIF(C:C,L15,F:F)</f>
        <v/>
      </c>
      <c r="AC15" s="34">
        <f>SUMIF(D:D,L15,E:E)</f>
        <v/>
      </c>
    </row>
    <row r="16">
      <c r="A16" s="34" t="n">
        <v>15</v>
      </c>
      <c r="B16" s="34" t="inlineStr">
        <is>
          <t>C</t>
        </is>
      </c>
      <c r="C16" s="34" t="inlineStr">
        <is>
          <t>Escocia</t>
        </is>
      </c>
      <c r="D16" s="34" t="inlineStr">
        <is>
          <t>Marruecos</t>
        </is>
      </c>
      <c r="E16" s="3" t="n">
        <v>0</v>
      </c>
      <c r="F16" s="3" t="n">
        <v>1</v>
      </c>
      <c r="G16" s="34">
        <f t="array" ref="G16">_xlfn.IFS(E16&gt;F16,"Local",E16=F16,"Empate",E16&lt;F16,"Visitante")</f>
        <v/>
      </c>
      <c r="H16" s="1">
        <f>E16-F16</f>
        <v/>
      </c>
      <c r="J16" s="32" t="n"/>
      <c r="K16" s="34" t="n"/>
      <c r="L16" s="34" t="inlineStr">
        <is>
          <t>Haití</t>
        </is>
      </c>
      <c r="M16" s="3">
        <f>(Q16*3)+R16</f>
        <v/>
      </c>
      <c r="N16" s="3">
        <f>O16-P16</f>
        <v/>
      </c>
      <c r="O16" s="3">
        <f>Z16+AA16</f>
        <v/>
      </c>
      <c r="P16" s="3">
        <f>AB16+AC16</f>
        <v/>
      </c>
      <c r="Q16" s="34">
        <f>T16+U16</f>
        <v/>
      </c>
      <c r="R16" s="34">
        <f>V16+W16</f>
        <v/>
      </c>
      <c r="S16" s="34">
        <f>X16+Y16</f>
        <v/>
      </c>
      <c r="T16" s="34">
        <f>COUNTIFS(C:C,L16,G:G,"Local")</f>
        <v/>
      </c>
      <c r="U16" s="34">
        <f>COUNTIFS(D:D,L16,G:G,"Visitante")</f>
        <v/>
      </c>
      <c r="V16" s="34">
        <f>COUNTIFS(C:C,L16,G:G,"Empate")</f>
        <v/>
      </c>
      <c r="W16" s="34">
        <f>COUNTIFS(D:D,L16,G:G,"Empate")</f>
        <v/>
      </c>
      <c r="X16" s="34">
        <f>COUNTIFS(C:C,L16,G:G,"Visitante")</f>
        <v/>
      </c>
      <c r="Y16" s="34">
        <f>COUNTIFS(D:D,L16,G:G,"Local")</f>
        <v/>
      </c>
      <c r="Z16" s="34">
        <f>SUMIF(C:C,L16,E:E)</f>
        <v/>
      </c>
      <c r="AA16" s="34">
        <f>SUMIF(D:D,L16,F:F)</f>
        <v/>
      </c>
      <c r="AB16" s="34">
        <f>SUMIF(C:C,L16,F:F)</f>
        <v/>
      </c>
      <c r="AC16" s="34">
        <f>SUMIF(D:D,L16,E:E)</f>
        <v/>
      </c>
    </row>
    <row r="17">
      <c r="A17" s="34" t="n">
        <v>16</v>
      </c>
      <c r="B17" s="34" t="inlineStr">
        <is>
          <t>C</t>
        </is>
      </c>
      <c r="C17" s="34" t="inlineStr">
        <is>
          <t>Brasil</t>
        </is>
      </c>
      <c r="D17" s="34" t="inlineStr">
        <is>
          <t>Haití</t>
        </is>
      </c>
      <c r="E17" s="3" t="n">
        <v>3</v>
      </c>
      <c r="F17" s="3" t="n">
        <v>0</v>
      </c>
      <c r="G17" s="34">
        <f t="array" ref="G17">_xlfn.IFS(E17&gt;F17,"Local",E17=F17,"Empate",E17&lt;F17,"Visitante")</f>
        <v/>
      </c>
      <c r="H17" s="1">
        <f>E17-F17</f>
        <v/>
      </c>
      <c r="J17" s="33" t="n"/>
      <c r="K17" s="34" t="n"/>
      <c r="L17" s="34" t="inlineStr">
        <is>
          <t>Escocia</t>
        </is>
      </c>
      <c r="M17" s="3">
        <f>(Q17*3)+R17</f>
        <v/>
      </c>
      <c r="N17" s="3">
        <f>O17-P17</f>
        <v/>
      </c>
      <c r="O17" s="3">
        <f>Z17+AA17</f>
        <v/>
      </c>
      <c r="P17" s="3">
        <f>AB17+AC17</f>
        <v/>
      </c>
      <c r="Q17" s="34">
        <f>T17+U17</f>
        <v/>
      </c>
      <c r="R17" s="34">
        <f>V17+W17</f>
        <v/>
      </c>
      <c r="S17" s="34">
        <f>X17+Y17</f>
        <v/>
      </c>
      <c r="T17" s="34">
        <f>COUNTIFS(C:C,L17,G:G,"Local")</f>
        <v/>
      </c>
      <c r="U17" s="34">
        <f>COUNTIFS(D:D,L17,G:G,"Visitante")</f>
        <v/>
      </c>
      <c r="V17" s="34">
        <f>COUNTIFS(C:C,L17,G:G,"Empate")</f>
        <v/>
      </c>
      <c r="W17" s="34">
        <f>COUNTIFS(D:D,L17,G:G,"Empate")</f>
        <v/>
      </c>
      <c r="X17" s="34">
        <f>COUNTIFS(C:C,L17,G:G,"Visitante")</f>
        <v/>
      </c>
      <c r="Y17" s="34">
        <f>COUNTIFS(D:D,L17,G:G,"Local")</f>
        <v/>
      </c>
      <c r="Z17" s="34">
        <f>SUMIF(C:C,L17,E:E)</f>
        <v/>
      </c>
      <c r="AA17" s="34">
        <f>SUMIF(D:D,L17,F:F)</f>
        <v/>
      </c>
      <c r="AB17" s="34">
        <f>SUMIF(C:C,L17,F:F)</f>
        <v/>
      </c>
      <c r="AC17" s="34">
        <f>SUMIF(D:D,L17,E:E)</f>
        <v/>
      </c>
    </row>
    <row r="18">
      <c r="A18" s="34" t="n">
        <v>17</v>
      </c>
      <c r="B18" s="34" t="inlineStr">
        <is>
          <t>C</t>
        </is>
      </c>
      <c r="C18" s="34" t="inlineStr">
        <is>
          <t>Escocia</t>
        </is>
      </c>
      <c r="D18" s="34" t="inlineStr">
        <is>
          <t>Brasil</t>
        </is>
      </c>
      <c r="E18" s="3" t="n">
        <v>0</v>
      </c>
      <c r="F18" s="3" t="n">
        <v>3</v>
      </c>
      <c r="G18" s="34">
        <f t="array" ref="G18">_xlfn.IFS(E18&gt;F18,"Local",E18=F18,"Empate",E18&lt;F18,"Visitante")</f>
        <v/>
      </c>
      <c r="H18" s="1">
        <f>E18-F18</f>
        <v/>
      </c>
    </row>
    <row r="19">
      <c r="A19" s="34" t="n">
        <v>18</v>
      </c>
      <c r="B19" s="34" t="inlineStr">
        <is>
          <t>C</t>
        </is>
      </c>
      <c r="C19" s="34" t="inlineStr">
        <is>
          <t>Marruecos</t>
        </is>
      </c>
      <c r="D19" s="34" t="inlineStr">
        <is>
          <t>Haití</t>
        </is>
      </c>
      <c r="E19" s="3" t="n">
        <v>4</v>
      </c>
      <c r="F19" s="3" t="n">
        <v>2</v>
      </c>
      <c r="G19" s="34">
        <f t="array" ref="G19">_xlfn.IFS(E19&gt;F19,"Local",E19=F19,"Empate",E19&lt;F19,"Visitante")</f>
        <v/>
      </c>
      <c r="H19" s="1">
        <f>E19-F19</f>
        <v/>
      </c>
      <c r="J19" s="6" t="inlineStr">
        <is>
          <t>Grupo</t>
        </is>
      </c>
      <c r="K19" s="6" t="inlineStr">
        <is>
          <t>Posición</t>
        </is>
      </c>
      <c r="L19" s="34" t="inlineStr">
        <is>
          <t>Equipo</t>
        </is>
      </c>
      <c r="M19" s="34" t="inlineStr">
        <is>
          <t>Puntos</t>
        </is>
      </c>
      <c r="N19" s="34" t="inlineStr">
        <is>
          <t>Diferencia</t>
        </is>
      </c>
      <c r="O19" s="34" t="inlineStr">
        <is>
          <t>GF</t>
        </is>
      </c>
      <c r="P19" s="5" t="inlineStr">
        <is>
          <t>GC</t>
        </is>
      </c>
      <c r="Q19" s="5" t="inlineStr">
        <is>
          <t>Victorias</t>
        </is>
      </c>
      <c r="R19" s="5" t="inlineStr">
        <is>
          <t>Empates</t>
        </is>
      </c>
      <c r="S19" s="5" t="inlineStr">
        <is>
          <t>Derrotas</t>
        </is>
      </c>
      <c r="T19" s="5" t="inlineStr">
        <is>
          <t>Victorias_L</t>
        </is>
      </c>
      <c r="U19" s="5" t="inlineStr">
        <is>
          <t>Victorias_V</t>
        </is>
      </c>
      <c r="V19" s="5" t="inlineStr">
        <is>
          <t>Empates_L</t>
        </is>
      </c>
      <c r="W19" s="5" t="inlineStr">
        <is>
          <t>Empates_V</t>
        </is>
      </c>
      <c r="X19" s="5" t="inlineStr">
        <is>
          <t>Derrotas_L</t>
        </is>
      </c>
      <c r="Y19" s="5" t="inlineStr">
        <is>
          <t>Derrotas_V</t>
        </is>
      </c>
      <c r="Z19" s="5" t="inlineStr">
        <is>
          <t>GF_L</t>
        </is>
      </c>
      <c r="AA19" s="5" t="inlineStr">
        <is>
          <t>GF_V</t>
        </is>
      </c>
      <c r="AB19" s="5" t="inlineStr">
        <is>
          <t>GC_L</t>
        </is>
      </c>
      <c r="AC19" s="5" t="inlineStr">
        <is>
          <t>GC_V</t>
        </is>
      </c>
    </row>
    <row r="20">
      <c r="A20" s="34" t="n">
        <v>19</v>
      </c>
      <c r="B20" s="34" t="inlineStr">
        <is>
          <t>D</t>
        </is>
      </c>
      <c r="C20" s="34" t="inlineStr">
        <is>
          <t>Estados Unidos</t>
        </is>
      </c>
      <c r="D20" s="34" t="inlineStr">
        <is>
          <t>Paraguay</t>
        </is>
      </c>
      <c r="E20" s="3" t="n">
        <v>4</v>
      </c>
      <c r="F20" s="3" t="n">
        <v>1</v>
      </c>
      <c r="G20" s="34">
        <f t="array" ref="G20">_xlfn.IFS(E20&gt;F20,"Local",E20=F20,"Empate",E20&lt;F20,"Visitante")</f>
        <v/>
      </c>
      <c r="H20" s="1">
        <f>E20-F20</f>
        <v/>
      </c>
      <c r="J20" s="34" t="inlineStr">
        <is>
          <t>D</t>
        </is>
      </c>
      <c r="K20" s="34" t="n"/>
      <c r="L20" s="34" t="inlineStr">
        <is>
          <t>Estados Unidos</t>
        </is>
      </c>
      <c r="M20" s="3">
        <f>(Q20*3)+R20</f>
        <v/>
      </c>
      <c r="N20" s="3">
        <f>O20-P20</f>
        <v/>
      </c>
      <c r="O20" s="3">
        <f>Z20+AA20</f>
        <v/>
      </c>
      <c r="P20" s="3">
        <f>AB20+AC20</f>
        <v/>
      </c>
      <c r="Q20" s="34">
        <f>T20+U20</f>
        <v/>
      </c>
      <c r="R20" s="34">
        <f>V20+W20</f>
        <v/>
      </c>
      <c r="S20" s="34">
        <f>X20+Y20</f>
        <v/>
      </c>
      <c r="T20" s="34">
        <f>COUNTIFS(C:C,L20,G:G,"Local")</f>
        <v/>
      </c>
      <c r="U20" s="34">
        <f>COUNTIFS(D:D,L20,G:G,"Visitante")</f>
        <v/>
      </c>
      <c r="V20" s="34">
        <f>COUNTIFS(C:C,L20,G:G,"Empate")</f>
        <v/>
      </c>
      <c r="W20" s="34">
        <f>COUNTIFS(D:D,L20,G:G,"Empate")</f>
        <v/>
      </c>
      <c r="X20" s="34">
        <f>COUNTIFS(C:C,L20,G:G,"Visitante")</f>
        <v/>
      </c>
      <c r="Y20" s="34">
        <f>COUNTIFS(D:D,L20,G:G,"Local")</f>
        <v/>
      </c>
      <c r="Z20" s="34">
        <f>SUMIF(C:C,L20,E:E)</f>
        <v/>
      </c>
      <c r="AA20" s="34">
        <f>SUMIF(D:D,L20,F:F)</f>
        <v/>
      </c>
      <c r="AB20" s="34">
        <f>SUMIF(C:C,L20,F:F)</f>
        <v/>
      </c>
      <c r="AC20" s="34">
        <f>SUMIF(D:D,L20,E:E)</f>
        <v/>
      </c>
    </row>
    <row r="21">
      <c r="A21" s="34" t="n">
        <v>20</v>
      </c>
      <c r="B21" s="34" t="inlineStr">
        <is>
          <t>D</t>
        </is>
      </c>
      <c r="C21" s="34" t="inlineStr">
        <is>
          <t>Australia</t>
        </is>
      </c>
      <c r="D21" s="34" t="inlineStr">
        <is>
          <t>Turquía</t>
        </is>
      </c>
      <c r="E21" s="3" t="n">
        <v>2</v>
      </c>
      <c r="F21" s="3" t="n">
        <v>0</v>
      </c>
      <c r="G21" s="34">
        <f t="array" ref="G21">_xlfn.IFS(E21&gt;F21,"Local",E21=F21,"Empate",E21&lt;F21,"Visitante")</f>
        <v/>
      </c>
      <c r="H21" s="1">
        <f>E21-F21</f>
        <v/>
      </c>
      <c r="J21" s="32" t="n"/>
      <c r="K21" s="34" t="n"/>
      <c r="L21" s="34" t="inlineStr">
        <is>
          <t>Paraguay</t>
        </is>
      </c>
      <c r="M21" s="3">
        <f>(Q21*3)+R21</f>
        <v/>
      </c>
      <c r="N21" s="3">
        <f>O21-P21</f>
        <v/>
      </c>
      <c r="O21" s="3">
        <f>Z21+AA21</f>
        <v/>
      </c>
      <c r="P21" s="3">
        <f>AB21+AC21</f>
        <v/>
      </c>
      <c r="Q21" s="34">
        <f>T21+U21</f>
        <v/>
      </c>
      <c r="R21" s="34">
        <f>V21+W21</f>
        <v/>
      </c>
      <c r="S21" s="34">
        <f>X21+Y21</f>
        <v/>
      </c>
      <c r="T21" s="34">
        <f>COUNTIFS(C:C,L21,G:G,"Local")</f>
        <v/>
      </c>
      <c r="U21" s="34">
        <f>COUNTIFS(D:D,L21,G:G,"Visitante")</f>
        <v/>
      </c>
      <c r="V21" s="34">
        <f>COUNTIFS(C:C,L21,G:G,"Empate")</f>
        <v/>
      </c>
      <c r="W21" s="34">
        <f>COUNTIFS(D:D,L21,G:G,"Empate")</f>
        <v/>
      </c>
      <c r="X21" s="34">
        <f>COUNTIFS(C:C,L21,G:G,"Visitante")</f>
        <v/>
      </c>
      <c r="Y21" s="34">
        <f>COUNTIFS(D:D,L21,G:G,"Local")</f>
        <v/>
      </c>
      <c r="Z21" s="34">
        <f>SUMIF(C:C,L21,E:E)</f>
        <v/>
      </c>
      <c r="AA21" s="34">
        <f>SUMIF(D:D,L21,F:F)</f>
        <v/>
      </c>
      <c r="AB21" s="34">
        <f>SUMIF(C:C,L21,F:F)</f>
        <v/>
      </c>
      <c r="AC21" s="34">
        <f>SUMIF(D:D,L21,E:E)</f>
        <v/>
      </c>
    </row>
    <row r="22">
      <c r="A22" s="34" t="n">
        <v>21</v>
      </c>
      <c r="B22" s="34" t="inlineStr">
        <is>
          <t>D</t>
        </is>
      </c>
      <c r="C22" s="34" t="inlineStr">
        <is>
          <t>Estados Unidos</t>
        </is>
      </c>
      <c r="D22" s="34" t="inlineStr">
        <is>
          <t>Australia</t>
        </is>
      </c>
      <c r="E22" s="3" t="n">
        <v>2</v>
      </c>
      <c r="F22" s="3" t="n">
        <v>0</v>
      </c>
      <c r="G22" s="34">
        <f t="array" ref="G22">_xlfn.IFS(E22&gt;F22,"Local",E22=F22,"Empate",E22&lt;F22,"Visitante")</f>
        <v/>
      </c>
      <c r="H22" s="1">
        <f>E22-F22</f>
        <v/>
      </c>
      <c r="J22" s="32" t="n"/>
      <c r="K22" s="34" t="n"/>
      <c r="L22" s="34" t="inlineStr">
        <is>
          <t>Australia</t>
        </is>
      </c>
      <c r="M22" s="3">
        <f>(Q22*3)+R22</f>
        <v/>
      </c>
      <c r="N22" s="3">
        <f>O22-P22</f>
        <v/>
      </c>
      <c r="O22" s="3">
        <f>Z22+AA22</f>
        <v/>
      </c>
      <c r="P22" s="3">
        <f>AB22+AC22</f>
        <v/>
      </c>
      <c r="Q22" s="34">
        <f>T22+U22</f>
        <v/>
      </c>
      <c r="R22" s="34">
        <f>V22+W22</f>
        <v/>
      </c>
      <c r="S22" s="34">
        <f>X22+Y22</f>
        <v/>
      </c>
      <c r="T22" s="34">
        <f>COUNTIFS(C:C,L22,G:G,"Local")</f>
        <v/>
      </c>
      <c r="U22" s="34">
        <f>COUNTIFS(D:D,L22,G:G,"Visitante")</f>
        <v/>
      </c>
      <c r="V22" s="34">
        <f>COUNTIFS(C:C,L22,G:G,"Empate")</f>
        <v/>
      </c>
      <c r="W22" s="34">
        <f>COUNTIFS(D:D,L22,G:G,"Empate")</f>
        <v/>
      </c>
      <c r="X22" s="34">
        <f>COUNTIFS(C:C,L22,G:G,"Visitante")</f>
        <v/>
      </c>
      <c r="Y22" s="34">
        <f>COUNTIFS(D:D,L22,G:G,"Local")</f>
        <v/>
      </c>
      <c r="Z22" s="34">
        <f>SUMIF(C:C,L22,E:E)</f>
        <v/>
      </c>
      <c r="AA22" s="34">
        <f>SUMIF(D:D,L22,F:F)</f>
        <v/>
      </c>
      <c r="AB22" s="34">
        <f>SUMIF(C:C,L22,F:F)</f>
        <v/>
      </c>
      <c r="AC22" s="34">
        <f>SUMIF(D:D,L22,E:E)</f>
        <v/>
      </c>
    </row>
    <row r="23">
      <c r="A23" s="34" t="n">
        <v>22</v>
      </c>
      <c r="B23" s="34" t="inlineStr">
        <is>
          <t>D</t>
        </is>
      </c>
      <c r="C23" s="34" t="inlineStr">
        <is>
          <t>Turquía</t>
        </is>
      </c>
      <c r="D23" s="34" t="inlineStr">
        <is>
          <t>Paraguay</t>
        </is>
      </c>
      <c r="E23" s="3" t="n">
        <v>0</v>
      </c>
      <c r="F23" s="3" t="n">
        <v>1</v>
      </c>
      <c r="G23" s="34">
        <f t="array" ref="G23">_xlfn.IFS(E23&gt;F23,"Local",E23=F23,"Empate",E23&lt;F23,"Visitante")</f>
        <v/>
      </c>
      <c r="H23" s="1">
        <f>E23-F23</f>
        <v/>
      </c>
      <c r="J23" s="33" t="n"/>
      <c r="K23" s="34" t="n"/>
      <c r="L23" s="34" t="inlineStr">
        <is>
          <t>Turquía</t>
        </is>
      </c>
      <c r="M23" s="3">
        <f>(Q23*3)+R23</f>
        <v/>
      </c>
      <c r="N23" s="3">
        <f>O23-P23</f>
        <v/>
      </c>
      <c r="O23" s="3">
        <f>Z23+AA23</f>
        <v/>
      </c>
      <c r="P23" s="3">
        <f>AB23+AC23</f>
        <v/>
      </c>
      <c r="Q23" s="34">
        <f>T23+U23</f>
        <v/>
      </c>
      <c r="R23" s="34">
        <f>V23+W23</f>
        <v/>
      </c>
      <c r="S23" s="34">
        <f>X23+Y23</f>
        <v/>
      </c>
      <c r="T23" s="34">
        <f>COUNTIFS(C:C,L23,G:G,"Local")</f>
        <v/>
      </c>
      <c r="U23" s="34">
        <f>COUNTIFS(D:D,L23,G:G,"Visitante")</f>
        <v/>
      </c>
      <c r="V23" s="34">
        <f>COUNTIFS(C:C,L23,G:G,"Empate")</f>
        <v/>
      </c>
      <c r="W23" s="34">
        <f>COUNTIFS(D:D,L23,G:G,"Empate")</f>
        <v/>
      </c>
      <c r="X23" s="34">
        <f>COUNTIFS(C:C,L23,G:G,"Visitante")</f>
        <v/>
      </c>
      <c r="Y23" s="34">
        <f>COUNTIFS(D:D,L23,G:G,"Local")</f>
        <v/>
      </c>
      <c r="Z23" s="34">
        <f>SUMIF(C:C,L23,E:E)</f>
        <v/>
      </c>
      <c r="AA23" s="34">
        <f>SUMIF(D:D,L23,F:F)</f>
        <v/>
      </c>
      <c r="AB23" s="34">
        <f>SUMIF(C:C,L23,F:F)</f>
        <v/>
      </c>
      <c r="AC23" s="34">
        <f>SUMIF(D:D,L23,E:E)</f>
        <v/>
      </c>
    </row>
    <row r="24">
      <c r="A24" s="34" t="n">
        <v>23</v>
      </c>
      <c r="B24" s="34" t="inlineStr">
        <is>
          <t>D</t>
        </is>
      </c>
      <c r="C24" s="34" t="inlineStr">
        <is>
          <t>Turquía</t>
        </is>
      </c>
      <c r="D24" s="34" t="inlineStr">
        <is>
          <t>Estados Unidos</t>
        </is>
      </c>
      <c r="E24" s="3" t="n">
        <v>3</v>
      </c>
      <c r="F24" s="3" t="n">
        <v>2</v>
      </c>
      <c r="G24" s="34">
        <f t="array" ref="G24">_xlfn.IFS(E24&gt;F24,"Local",E24=F24,"Empate",E24&lt;F24,"Visitante")</f>
        <v/>
      </c>
      <c r="H24" s="1">
        <f>E24-F24</f>
        <v/>
      </c>
    </row>
    <row r="25">
      <c r="A25" s="34" t="n">
        <v>24</v>
      </c>
      <c r="B25" s="34" t="inlineStr">
        <is>
          <t>D</t>
        </is>
      </c>
      <c r="C25" s="34" t="inlineStr">
        <is>
          <t>Paraguay</t>
        </is>
      </c>
      <c r="D25" s="34" t="inlineStr">
        <is>
          <t>Australia</t>
        </is>
      </c>
      <c r="E25" s="3" t="n">
        <v>0</v>
      </c>
      <c r="F25" s="3" t="n">
        <v>0</v>
      </c>
      <c r="G25" s="34">
        <f t="array" ref="G25">_xlfn.IFS(E25&gt;F25,"Local",E25=F25,"Empate",E25&lt;F25,"Visitante")</f>
        <v/>
      </c>
      <c r="H25" s="1">
        <f>E25-F25</f>
        <v/>
      </c>
      <c r="J25" s="6" t="inlineStr">
        <is>
          <t>Grupo</t>
        </is>
      </c>
      <c r="K25" s="6" t="inlineStr">
        <is>
          <t>Posición</t>
        </is>
      </c>
      <c r="L25" s="34" t="inlineStr">
        <is>
          <t>Equipo</t>
        </is>
      </c>
      <c r="M25" s="34" t="inlineStr">
        <is>
          <t>Puntos</t>
        </is>
      </c>
      <c r="N25" s="34" t="inlineStr">
        <is>
          <t>Diferencia</t>
        </is>
      </c>
      <c r="O25" s="34" t="inlineStr">
        <is>
          <t>GF</t>
        </is>
      </c>
      <c r="P25" s="5" t="inlineStr">
        <is>
          <t>GC</t>
        </is>
      </c>
      <c r="Q25" s="5" t="inlineStr">
        <is>
          <t>Victorias</t>
        </is>
      </c>
      <c r="R25" s="5" t="inlineStr">
        <is>
          <t>Empates</t>
        </is>
      </c>
      <c r="S25" s="5" t="inlineStr">
        <is>
          <t>Derrotas</t>
        </is>
      </c>
      <c r="T25" s="5" t="inlineStr">
        <is>
          <t>Victorias_L</t>
        </is>
      </c>
      <c r="U25" s="5" t="inlineStr">
        <is>
          <t>Victorias_V</t>
        </is>
      </c>
      <c r="V25" s="5" t="inlineStr">
        <is>
          <t>Empates_L</t>
        </is>
      </c>
      <c r="W25" s="5" t="inlineStr">
        <is>
          <t>Empates_V</t>
        </is>
      </c>
      <c r="X25" s="5" t="inlineStr">
        <is>
          <t>Derrotas_L</t>
        </is>
      </c>
      <c r="Y25" s="5" t="inlineStr">
        <is>
          <t>Derrotas_V</t>
        </is>
      </c>
      <c r="Z25" s="5" t="inlineStr">
        <is>
          <t>GF_L</t>
        </is>
      </c>
      <c r="AA25" s="5" t="inlineStr">
        <is>
          <t>GF_V</t>
        </is>
      </c>
      <c r="AB25" s="5" t="inlineStr">
        <is>
          <t>GC_L</t>
        </is>
      </c>
      <c r="AC25" s="5" t="inlineStr">
        <is>
          <t>GC_V</t>
        </is>
      </c>
    </row>
    <row r="26">
      <c r="A26" s="34" t="n">
        <v>25</v>
      </c>
      <c r="B26" s="34" t="inlineStr">
        <is>
          <t>E</t>
        </is>
      </c>
      <c r="C26" s="34" t="inlineStr">
        <is>
          <t>Alemania</t>
        </is>
      </c>
      <c r="D26" s="34" t="inlineStr">
        <is>
          <t>Curazao</t>
        </is>
      </c>
      <c r="E26" s="3" t="n">
        <v>7</v>
      </c>
      <c r="F26" s="3" t="n">
        <v>1</v>
      </c>
      <c r="G26" s="34">
        <f t="array" ref="G26">_xlfn.IFS(E26&gt;F26,"Local",E26=F26,"Empate",E26&lt;F26,"Visitante")</f>
        <v/>
      </c>
      <c r="H26" s="1">
        <f>E26-F26</f>
        <v/>
      </c>
      <c r="J26" s="34" t="inlineStr">
        <is>
          <t>E</t>
        </is>
      </c>
      <c r="K26" s="34" t="n"/>
      <c r="L26" s="34" t="inlineStr">
        <is>
          <t>Alemania</t>
        </is>
      </c>
      <c r="M26" s="3">
        <f>(Q26*3)+R26</f>
        <v/>
      </c>
      <c r="N26" s="3">
        <f>O26-P26</f>
        <v/>
      </c>
      <c r="O26" s="3">
        <f>Z26+AA26</f>
        <v/>
      </c>
      <c r="P26" s="3">
        <f>AB26+AC26</f>
        <v/>
      </c>
      <c r="Q26" s="34">
        <f>T26+U26</f>
        <v/>
      </c>
      <c r="R26" s="34">
        <f>V26+W26</f>
        <v/>
      </c>
      <c r="S26" s="34">
        <f>X26+Y26</f>
        <v/>
      </c>
      <c r="T26" s="34">
        <f>COUNTIFS(C:C,L26,G:G,"Local")</f>
        <v/>
      </c>
      <c r="U26" s="34">
        <f>COUNTIFS(D:D,L26,G:G,"Visitante")</f>
        <v/>
      </c>
      <c r="V26" s="34">
        <f>COUNTIFS(C:C,L26,G:G,"Empate")</f>
        <v/>
      </c>
      <c r="W26" s="34">
        <f>COUNTIFS(D:D,L26,G:G,"Empate")</f>
        <v/>
      </c>
      <c r="X26" s="34">
        <f>COUNTIFS(C:C,L26,G:G,"Visitante")</f>
        <v/>
      </c>
      <c r="Y26" s="34">
        <f>COUNTIFS(D:D,L26,G:G,"Local")</f>
        <v/>
      </c>
      <c r="Z26" s="34">
        <f>SUMIF(C:C,L26,E:E)</f>
        <v/>
      </c>
      <c r="AA26" s="34">
        <f>SUMIF(D:D,L26,F:F)</f>
        <v/>
      </c>
      <c r="AB26" s="34">
        <f>SUMIF(C:C,L26,F:F)</f>
        <v/>
      </c>
      <c r="AC26" s="34">
        <f>SUMIF(D:D,L26,E:E)</f>
        <v/>
      </c>
    </row>
    <row r="27">
      <c r="A27" s="34" t="n">
        <v>26</v>
      </c>
      <c r="B27" s="34" t="inlineStr">
        <is>
          <t>E</t>
        </is>
      </c>
      <c r="C27" s="34" t="inlineStr">
        <is>
          <t>Costa de Marfil</t>
        </is>
      </c>
      <c r="D27" s="34" t="inlineStr">
        <is>
          <t>Ecuador</t>
        </is>
      </c>
      <c r="E27" s="3" t="n">
        <v>1</v>
      </c>
      <c r="F27" s="3" t="n">
        <v>0</v>
      </c>
      <c r="G27" s="34">
        <f t="array" ref="G27">_xlfn.IFS(E27&gt;F27,"Local",E27=F27,"Empate",E27&lt;F27,"Visitante")</f>
        <v/>
      </c>
      <c r="H27" s="1">
        <f>E27-F27</f>
        <v/>
      </c>
      <c r="J27" s="32" t="n"/>
      <c r="K27" s="34" t="n"/>
      <c r="L27" s="34" t="inlineStr">
        <is>
          <t>Curazao</t>
        </is>
      </c>
      <c r="M27" s="3">
        <f>(Q27*3)+R27</f>
        <v/>
      </c>
      <c r="N27" s="3">
        <f>O27-P27</f>
        <v/>
      </c>
      <c r="O27" s="3">
        <f>Z27+AA27</f>
        <v/>
      </c>
      <c r="P27" s="3">
        <f>AB27+AC27</f>
        <v/>
      </c>
      <c r="Q27" s="34">
        <f>T27+U27</f>
        <v/>
      </c>
      <c r="R27" s="34">
        <f>V27+W27</f>
        <v/>
      </c>
      <c r="S27" s="34">
        <f>X27+Y27</f>
        <v/>
      </c>
      <c r="T27" s="34">
        <f>COUNTIFS(C:C,L27,G:G,"Local")</f>
        <v/>
      </c>
      <c r="U27" s="34">
        <f>COUNTIFS(D:D,L27,G:G,"Visitante")</f>
        <v/>
      </c>
      <c r="V27" s="34">
        <f>COUNTIFS(C:C,L27,G:G,"Empate")</f>
        <v/>
      </c>
      <c r="W27" s="34">
        <f>COUNTIFS(D:D,L27,G:G,"Empate")</f>
        <v/>
      </c>
      <c r="X27" s="34">
        <f>COUNTIFS(C:C,L27,G:G,"Visitante")</f>
        <v/>
      </c>
      <c r="Y27" s="34">
        <f>COUNTIFS(D:D,L27,G:G,"Local")</f>
        <v/>
      </c>
      <c r="Z27" s="34">
        <f>SUMIF(C:C,L27,E:E)</f>
        <v/>
      </c>
      <c r="AA27" s="34">
        <f>SUMIF(D:D,L27,F:F)</f>
        <v/>
      </c>
      <c r="AB27" s="34">
        <f>SUMIF(C:C,L27,F:F)</f>
        <v/>
      </c>
      <c r="AC27" s="34">
        <f>SUMIF(D:D,L27,E:E)</f>
        <v/>
      </c>
    </row>
    <row r="28">
      <c r="A28" s="34" t="n">
        <v>27</v>
      </c>
      <c r="B28" s="34" t="inlineStr">
        <is>
          <t>E</t>
        </is>
      </c>
      <c r="C28" s="34" t="inlineStr">
        <is>
          <t>Alemania</t>
        </is>
      </c>
      <c r="D28" s="34" t="inlineStr">
        <is>
          <t>Costa de Marfil</t>
        </is>
      </c>
      <c r="E28" s="3" t="n">
        <v>2</v>
      </c>
      <c r="F28" s="3" t="n">
        <v>1</v>
      </c>
      <c r="G28" s="34">
        <f t="array" ref="G28">_xlfn.IFS(E28&gt;F28,"Local",E28=F28,"Empate",E28&lt;F28,"Visitante")</f>
        <v/>
      </c>
      <c r="H28" s="1">
        <f>E28-F28</f>
        <v/>
      </c>
      <c r="J28" s="32" t="n"/>
      <c r="K28" s="34" t="n"/>
      <c r="L28" s="34" t="inlineStr">
        <is>
          <t>Costa de Marfil</t>
        </is>
      </c>
      <c r="M28" s="3">
        <f>(Q28*3)+R28</f>
        <v/>
      </c>
      <c r="N28" s="3">
        <f>O28-P28</f>
        <v/>
      </c>
      <c r="O28" s="3">
        <f>Z28+AA28</f>
        <v/>
      </c>
      <c r="P28" s="3">
        <f>AB28+AC28</f>
        <v/>
      </c>
      <c r="Q28" s="34">
        <f>T28+U28</f>
        <v/>
      </c>
      <c r="R28" s="34">
        <f>V28+W28</f>
        <v/>
      </c>
      <c r="S28" s="34">
        <f>X28+Y28</f>
        <v/>
      </c>
      <c r="T28" s="34">
        <f>COUNTIFS(C:C,L28,G:G,"Local")</f>
        <v/>
      </c>
      <c r="U28" s="34">
        <f>COUNTIFS(D:D,L28,G:G,"Visitante")</f>
        <v/>
      </c>
      <c r="V28" s="34">
        <f>COUNTIFS(C:C,L28,G:G,"Empate")</f>
        <v/>
      </c>
      <c r="W28" s="34">
        <f>COUNTIFS(D:D,L28,G:G,"Empate")</f>
        <v/>
      </c>
      <c r="X28" s="34">
        <f>COUNTIFS(C:C,L28,G:G,"Visitante")</f>
        <v/>
      </c>
      <c r="Y28" s="34">
        <f>COUNTIFS(D:D,L28,G:G,"Local")</f>
        <v/>
      </c>
      <c r="Z28" s="34">
        <f>SUMIF(C:C,L28,E:E)</f>
        <v/>
      </c>
      <c r="AA28" s="34">
        <f>SUMIF(D:D,L28,F:F)</f>
        <v/>
      </c>
      <c r="AB28" s="34">
        <f>SUMIF(C:C,L28,F:F)</f>
        <v/>
      </c>
      <c r="AC28" s="34">
        <f>SUMIF(D:D,L28,E:E)</f>
        <v/>
      </c>
    </row>
    <row r="29">
      <c r="A29" s="34" t="n">
        <v>28</v>
      </c>
      <c r="B29" s="34" t="inlineStr">
        <is>
          <t>E</t>
        </is>
      </c>
      <c r="C29" s="34" t="inlineStr">
        <is>
          <t>Ecuador</t>
        </is>
      </c>
      <c r="D29" s="34" t="inlineStr">
        <is>
          <t>Curazao</t>
        </is>
      </c>
      <c r="E29" s="3" t="n">
        <v>0</v>
      </c>
      <c r="F29" s="3" t="n">
        <v>0</v>
      </c>
      <c r="G29" s="34">
        <f t="array" ref="G29">_xlfn.IFS(E29&gt;F29,"Local",E29=F29,"Empate",E29&lt;F29,"Visitante")</f>
        <v/>
      </c>
      <c r="H29" s="1">
        <f>E29-F29</f>
        <v/>
      </c>
      <c r="J29" s="33" t="n"/>
      <c r="K29" s="34" t="n"/>
      <c r="L29" s="34" t="inlineStr">
        <is>
          <t>Ecuador</t>
        </is>
      </c>
      <c r="M29" s="3">
        <f>(Q29*3)+R29</f>
        <v/>
      </c>
      <c r="N29" s="3">
        <f>O29-P29</f>
        <v/>
      </c>
      <c r="O29" s="3">
        <f>Z29+AA29</f>
        <v/>
      </c>
      <c r="P29" s="3">
        <f>AB29+AC29</f>
        <v/>
      </c>
      <c r="Q29" s="34">
        <f>T29+U29</f>
        <v/>
      </c>
      <c r="R29" s="34">
        <f>V29+W29</f>
        <v/>
      </c>
      <c r="S29" s="34">
        <f>X29+Y29</f>
        <v/>
      </c>
      <c r="T29" s="34">
        <f>COUNTIFS(C:C,L29,G:G,"Local")</f>
        <v/>
      </c>
      <c r="U29" s="34">
        <f>COUNTIFS(D:D,L29,G:G,"Visitante")</f>
        <v/>
      </c>
      <c r="V29" s="34">
        <f>COUNTIFS(C:C,L29,G:G,"Empate")</f>
        <v/>
      </c>
      <c r="W29" s="34">
        <f>COUNTIFS(D:D,L29,G:G,"Empate")</f>
        <v/>
      </c>
      <c r="X29" s="34">
        <f>COUNTIFS(C:C,L29,G:G,"Visitante")</f>
        <v/>
      </c>
      <c r="Y29" s="34">
        <f>COUNTIFS(D:D,L29,G:G,"Local")</f>
        <v/>
      </c>
      <c r="Z29" s="34">
        <f>SUMIF(C:C,L29,E:E)</f>
        <v/>
      </c>
      <c r="AA29" s="34">
        <f>SUMIF(D:D,L29,F:F)</f>
        <v/>
      </c>
      <c r="AB29" s="34">
        <f>SUMIF(C:C,L29,F:F)</f>
        <v/>
      </c>
      <c r="AC29" s="34">
        <f>SUMIF(D:D,L29,E:E)</f>
        <v/>
      </c>
    </row>
    <row r="30">
      <c r="A30" s="34" t="n">
        <v>29</v>
      </c>
      <c r="B30" s="34" t="inlineStr">
        <is>
          <t>E</t>
        </is>
      </c>
      <c r="C30" s="34" t="inlineStr">
        <is>
          <t>Curazao</t>
        </is>
      </c>
      <c r="D30" s="34" t="inlineStr">
        <is>
          <t>Costa de Marfil</t>
        </is>
      </c>
      <c r="E30" s="3" t="n">
        <v>0</v>
      </c>
      <c r="F30" s="3" t="n">
        <v>2</v>
      </c>
      <c r="G30" s="34">
        <f t="array" ref="G30">_xlfn.IFS(E30&gt;F30,"Local",E30=F30,"Empate",E30&lt;F30,"Visitante")</f>
        <v/>
      </c>
      <c r="H30" s="1">
        <f>E30-F30</f>
        <v/>
      </c>
    </row>
    <row r="31">
      <c r="A31" s="34" t="n">
        <v>30</v>
      </c>
      <c r="B31" s="34" t="inlineStr">
        <is>
          <t>E</t>
        </is>
      </c>
      <c r="C31" s="34" t="inlineStr">
        <is>
          <t>Ecuador</t>
        </is>
      </c>
      <c r="D31" s="34" t="inlineStr">
        <is>
          <t>Alemania</t>
        </is>
      </c>
      <c r="E31" s="3" t="n">
        <v>2</v>
      </c>
      <c r="F31" s="3" t="n">
        <v>1</v>
      </c>
      <c r="G31" s="34">
        <f t="array" ref="G31">_xlfn.IFS(E31&gt;F31,"Local",E31=F31,"Empate",E31&lt;F31,"Visitante")</f>
        <v/>
      </c>
      <c r="H31" s="1">
        <f>E31-F31</f>
        <v/>
      </c>
      <c r="J31" s="6" t="inlineStr">
        <is>
          <t>Grupo</t>
        </is>
      </c>
      <c r="K31" s="6" t="inlineStr">
        <is>
          <t>Posición</t>
        </is>
      </c>
      <c r="L31" s="34" t="inlineStr">
        <is>
          <t>Equipo</t>
        </is>
      </c>
      <c r="M31" s="34" t="inlineStr">
        <is>
          <t>Puntos</t>
        </is>
      </c>
      <c r="N31" s="34" t="inlineStr">
        <is>
          <t>Diferencia</t>
        </is>
      </c>
      <c r="O31" s="34" t="inlineStr">
        <is>
          <t>GF</t>
        </is>
      </c>
      <c r="P31" s="5" t="inlineStr">
        <is>
          <t>GC</t>
        </is>
      </c>
      <c r="Q31" s="5" t="inlineStr">
        <is>
          <t>Victorias</t>
        </is>
      </c>
      <c r="R31" s="5" t="inlineStr">
        <is>
          <t>Empates</t>
        </is>
      </c>
      <c r="S31" s="5" t="inlineStr">
        <is>
          <t>Derrotas</t>
        </is>
      </c>
      <c r="T31" s="5" t="inlineStr">
        <is>
          <t>Victorias_L</t>
        </is>
      </c>
      <c r="U31" s="5" t="inlineStr">
        <is>
          <t>Victorias_V</t>
        </is>
      </c>
      <c r="V31" s="5" t="inlineStr">
        <is>
          <t>Empates_L</t>
        </is>
      </c>
      <c r="W31" s="5" t="inlineStr">
        <is>
          <t>Empates_V</t>
        </is>
      </c>
      <c r="X31" s="5" t="inlineStr">
        <is>
          <t>Derrotas_L</t>
        </is>
      </c>
      <c r="Y31" s="5" t="inlineStr">
        <is>
          <t>Derrotas_V</t>
        </is>
      </c>
      <c r="Z31" s="5" t="inlineStr">
        <is>
          <t>GF_L</t>
        </is>
      </c>
      <c r="AA31" s="5" t="inlineStr">
        <is>
          <t>GF_V</t>
        </is>
      </c>
      <c r="AB31" s="5" t="inlineStr">
        <is>
          <t>GC_L</t>
        </is>
      </c>
      <c r="AC31" s="5" t="inlineStr">
        <is>
          <t>GC_V</t>
        </is>
      </c>
    </row>
    <row r="32">
      <c r="A32" s="34" t="n">
        <v>31</v>
      </c>
      <c r="B32" s="34" t="inlineStr">
        <is>
          <t>F</t>
        </is>
      </c>
      <c r="C32" s="34" t="inlineStr">
        <is>
          <t>Países Bajos</t>
        </is>
      </c>
      <c r="D32" s="34" t="inlineStr">
        <is>
          <t>Japón</t>
        </is>
      </c>
      <c r="E32" s="3" t="n">
        <v>2</v>
      </c>
      <c r="F32" s="3" t="n">
        <v>2</v>
      </c>
      <c r="G32" s="34">
        <f t="array" ref="G32">_xlfn.IFS(E32&gt;F32,"Local",E32=F32,"Empate",E32&lt;F32,"Visitante")</f>
        <v/>
      </c>
      <c r="H32" s="1">
        <f>E32-F32</f>
        <v/>
      </c>
      <c r="J32" s="34" t="inlineStr">
        <is>
          <t>F</t>
        </is>
      </c>
      <c r="K32" s="34" t="n"/>
      <c r="L32" s="34" t="inlineStr">
        <is>
          <t>Países Bajos</t>
        </is>
      </c>
      <c r="M32" s="3">
        <f>(Q32*3)+R32</f>
        <v/>
      </c>
      <c r="N32" s="3">
        <f>O32-P32</f>
        <v/>
      </c>
      <c r="O32" s="3">
        <f>Z32+AA32</f>
        <v/>
      </c>
      <c r="P32" s="3">
        <f>AB32+AC32</f>
        <v/>
      </c>
      <c r="Q32" s="34">
        <f>T32+U32</f>
        <v/>
      </c>
      <c r="R32" s="34">
        <f>V32+W32</f>
        <v/>
      </c>
      <c r="S32" s="34">
        <f>X32+Y32</f>
        <v/>
      </c>
      <c r="T32" s="34">
        <f>COUNTIFS(C:C,L32,G:G,"Local")</f>
        <v/>
      </c>
      <c r="U32" s="34">
        <f>COUNTIFS(D:D,L32,G:G,"Visitante")</f>
        <v/>
      </c>
      <c r="V32" s="34">
        <f>COUNTIFS(C:C,L32,G:G,"Empate")</f>
        <v/>
      </c>
      <c r="W32" s="34">
        <f>COUNTIFS(D:D,L32,G:G,"Empate")</f>
        <v/>
      </c>
      <c r="X32" s="34">
        <f>COUNTIFS(C:C,L32,G:G,"Visitante")</f>
        <v/>
      </c>
      <c r="Y32" s="34">
        <f>COUNTIFS(D:D,L32,G:G,"Local")</f>
        <v/>
      </c>
      <c r="Z32" s="34">
        <f>SUMIF(C:C,L32,E:E)</f>
        <v/>
      </c>
      <c r="AA32" s="34">
        <f>SUMIF(D:D,L32,F:F)</f>
        <v/>
      </c>
      <c r="AB32" s="34">
        <f>SUMIF(C:C,L32,F:F)</f>
        <v/>
      </c>
      <c r="AC32" s="34">
        <f>SUMIF(D:D,L32,E:E)</f>
        <v/>
      </c>
    </row>
    <row r="33">
      <c r="A33" s="34" t="n">
        <v>32</v>
      </c>
      <c r="B33" s="34" t="inlineStr">
        <is>
          <t>F</t>
        </is>
      </c>
      <c r="C33" s="34" t="inlineStr">
        <is>
          <t>Suecia</t>
        </is>
      </c>
      <c r="D33" s="34" t="inlineStr">
        <is>
          <t>Túnez</t>
        </is>
      </c>
      <c r="E33" s="3" t="n">
        <v>5</v>
      </c>
      <c r="F33" s="3" t="n">
        <v>1</v>
      </c>
      <c r="G33" s="34">
        <f t="array" ref="G33">_xlfn.IFS(E33&gt;F33,"Local",E33=F33,"Empate",E33&lt;F33,"Visitante")</f>
        <v/>
      </c>
      <c r="H33" s="1">
        <f>E33-F33</f>
        <v/>
      </c>
      <c r="J33" s="32" t="n"/>
      <c r="K33" s="34" t="n"/>
      <c r="L33" s="34" t="inlineStr">
        <is>
          <t>Japón</t>
        </is>
      </c>
      <c r="M33" s="3">
        <f>(Q33*3)+R33</f>
        <v/>
      </c>
      <c r="N33" s="3">
        <f>O33-P33</f>
        <v/>
      </c>
      <c r="O33" s="3">
        <f>Z33+AA33</f>
        <v/>
      </c>
      <c r="P33" s="3">
        <f>AB33+AC33</f>
        <v/>
      </c>
      <c r="Q33" s="34">
        <f>T33+U33</f>
        <v/>
      </c>
      <c r="R33" s="34">
        <f>V33+W33</f>
        <v/>
      </c>
      <c r="S33" s="34">
        <f>X33+Y33</f>
        <v/>
      </c>
      <c r="T33" s="34">
        <f>COUNTIFS(C:C,L33,G:G,"Local")</f>
        <v/>
      </c>
      <c r="U33" s="34">
        <f>COUNTIFS(D:D,L33,G:G,"Visitante")</f>
        <v/>
      </c>
      <c r="V33" s="34">
        <f>COUNTIFS(C:C,L33,G:G,"Empate")</f>
        <v/>
      </c>
      <c r="W33" s="34">
        <f>COUNTIFS(D:D,L33,G:G,"Empate")</f>
        <v/>
      </c>
      <c r="X33" s="34">
        <f>COUNTIFS(C:C,L33,G:G,"Visitante")</f>
        <v/>
      </c>
      <c r="Y33" s="34">
        <f>COUNTIFS(D:D,L33,G:G,"Local")</f>
        <v/>
      </c>
      <c r="Z33" s="34">
        <f>SUMIF(C:C,L33,E:E)</f>
        <v/>
      </c>
      <c r="AA33" s="34">
        <f>SUMIF(D:D,L33,F:F)</f>
        <v/>
      </c>
      <c r="AB33" s="34">
        <f>SUMIF(C:C,L33,F:F)</f>
        <v/>
      </c>
      <c r="AC33" s="34">
        <f>SUMIF(D:D,L33,E:E)</f>
        <v/>
      </c>
    </row>
    <row r="34">
      <c r="A34" s="34" t="n">
        <v>33</v>
      </c>
      <c r="B34" s="34" t="inlineStr">
        <is>
          <t>F</t>
        </is>
      </c>
      <c r="C34" s="34" t="inlineStr">
        <is>
          <t>Países Bajos</t>
        </is>
      </c>
      <c r="D34" s="34" t="inlineStr">
        <is>
          <t>Suecia</t>
        </is>
      </c>
      <c r="E34" s="3" t="n">
        <v>5</v>
      </c>
      <c r="F34" s="3" t="n">
        <v>1</v>
      </c>
      <c r="G34" s="34">
        <f t="array" ref="G34">_xlfn.IFS(E34&gt;F34,"Local",E34=F34,"Empate",E34&lt;F34,"Visitante")</f>
        <v/>
      </c>
      <c r="H34" s="1">
        <f>E34-F34</f>
        <v/>
      </c>
      <c r="J34" s="32" t="n"/>
      <c r="K34" s="34" t="n"/>
      <c r="L34" s="34" t="inlineStr">
        <is>
          <t>Suecia</t>
        </is>
      </c>
      <c r="M34" s="3">
        <f>(Q34*3)+R34</f>
        <v/>
      </c>
      <c r="N34" s="3">
        <f>O34-P34</f>
        <v/>
      </c>
      <c r="O34" s="3">
        <f>Z34+AA34</f>
        <v/>
      </c>
      <c r="P34" s="3">
        <f>AB34+AC34</f>
        <v/>
      </c>
      <c r="Q34" s="34">
        <f>T34+U34</f>
        <v/>
      </c>
      <c r="R34" s="34">
        <f>V34+W34</f>
        <v/>
      </c>
      <c r="S34" s="34">
        <f>X34+Y34</f>
        <v/>
      </c>
      <c r="T34" s="34">
        <f>COUNTIFS(C:C,L34,G:G,"Local")</f>
        <v/>
      </c>
      <c r="U34" s="34">
        <f>COUNTIFS(D:D,L34,G:G,"Visitante")</f>
        <v/>
      </c>
      <c r="V34" s="34">
        <f>COUNTIFS(C:C,L34,G:G,"Empate")</f>
        <v/>
      </c>
      <c r="W34" s="34">
        <f>COUNTIFS(D:D,L34,G:G,"Empate")</f>
        <v/>
      </c>
      <c r="X34" s="34">
        <f>COUNTIFS(C:C,L34,G:G,"Visitante")</f>
        <v/>
      </c>
      <c r="Y34" s="34">
        <f>COUNTIFS(D:D,L34,G:G,"Local")</f>
        <v/>
      </c>
      <c r="Z34" s="34">
        <f>SUMIF(C:C,L34,E:E)</f>
        <v/>
      </c>
      <c r="AA34" s="34">
        <f>SUMIF(D:D,L34,F:F)</f>
        <v/>
      </c>
      <c r="AB34" s="34">
        <f>SUMIF(C:C,L34,F:F)</f>
        <v/>
      </c>
      <c r="AC34" s="34">
        <f>SUMIF(D:D,L34,E:E)</f>
        <v/>
      </c>
    </row>
    <row r="35">
      <c r="A35" s="34" t="n">
        <v>34</v>
      </c>
      <c r="B35" s="34" t="inlineStr">
        <is>
          <t>F</t>
        </is>
      </c>
      <c r="C35" s="34" t="inlineStr">
        <is>
          <t>Túnez</t>
        </is>
      </c>
      <c r="D35" s="34" t="inlineStr">
        <is>
          <t>Japón</t>
        </is>
      </c>
      <c r="E35" s="3" t="n">
        <v>0</v>
      </c>
      <c r="F35" s="3" t="n">
        <v>4</v>
      </c>
      <c r="G35" s="34">
        <f t="array" ref="G35">_xlfn.IFS(E35&gt;F35,"Local",E35=F35,"Empate",E35&lt;F35,"Visitante")</f>
        <v/>
      </c>
      <c r="H35" s="1">
        <f>E35-F35</f>
        <v/>
      </c>
      <c r="J35" s="33" t="n"/>
      <c r="K35" s="34" t="n"/>
      <c r="L35" s="34" t="inlineStr">
        <is>
          <t>Túnez</t>
        </is>
      </c>
      <c r="M35" s="3">
        <f>(Q35*3)+R35</f>
        <v/>
      </c>
      <c r="N35" s="3">
        <f>O35-P35</f>
        <v/>
      </c>
      <c r="O35" s="3">
        <f>Z35+AA35</f>
        <v/>
      </c>
      <c r="P35" s="3">
        <f>AB35+AC35</f>
        <v/>
      </c>
      <c r="Q35" s="34">
        <f>T35+U35</f>
        <v/>
      </c>
      <c r="R35" s="34">
        <f>V35+W35</f>
        <v/>
      </c>
      <c r="S35" s="34">
        <f>X35+Y35</f>
        <v/>
      </c>
      <c r="T35" s="34">
        <f>COUNTIFS(C:C,L35,G:G,"Local")</f>
        <v/>
      </c>
      <c r="U35" s="34">
        <f>COUNTIFS(D:D,L35,G:G,"Visitante")</f>
        <v/>
      </c>
      <c r="V35" s="34">
        <f>COUNTIFS(C:C,L35,G:G,"Empate")</f>
        <v/>
      </c>
      <c r="W35" s="34">
        <f>COUNTIFS(D:D,L35,G:G,"Empate")</f>
        <v/>
      </c>
      <c r="X35" s="34">
        <f>COUNTIFS(C:C,L35,G:G,"Visitante")</f>
        <v/>
      </c>
      <c r="Y35" s="34">
        <f>COUNTIFS(D:D,L35,G:G,"Local")</f>
        <v/>
      </c>
      <c r="Z35" s="34">
        <f>SUMIF(C:C,L35,E:E)</f>
        <v/>
      </c>
      <c r="AA35" s="34">
        <f>SUMIF(D:D,L35,F:F)</f>
        <v/>
      </c>
      <c r="AB35" s="34">
        <f>SUMIF(C:C,L35,F:F)</f>
        <v/>
      </c>
      <c r="AC35" s="34">
        <f>SUMIF(D:D,L35,E:E)</f>
        <v/>
      </c>
    </row>
    <row r="36">
      <c r="A36" s="34" t="n">
        <v>35</v>
      </c>
      <c r="B36" s="34" t="inlineStr">
        <is>
          <t>F</t>
        </is>
      </c>
      <c r="C36" s="34" t="inlineStr">
        <is>
          <t>Japón</t>
        </is>
      </c>
      <c r="D36" s="34" t="inlineStr">
        <is>
          <t>Suecia</t>
        </is>
      </c>
      <c r="E36" s="3" t="n">
        <v>1</v>
      </c>
      <c r="F36" s="3" t="n">
        <v>1</v>
      </c>
      <c r="G36" s="34">
        <f t="array" ref="G36">_xlfn.IFS(E36&gt;F36,"Local",E36=F36,"Empate",E36&lt;F36,"Visitante")</f>
        <v/>
      </c>
      <c r="H36" s="1">
        <f>E36-F36</f>
        <v/>
      </c>
    </row>
    <row r="37">
      <c r="A37" s="34" t="n">
        <v>36</v>
      </c>
      <c r="B37" s="34" t="inlineStr">
        <is>
          <t>F</t>
        </is>
      </c>
      <c r="C37" s="34" t="inlineStr">
        <is>
          <t>Túnez</t>
        </is>
      </c>
      <c r="D37" s="34" t="inlineStr">
        <is>
          <t>Países Bajos</t>
        </is>
      </c>
      <c r="E37" s="3" t="n">
        <v>1</v>
      </c>
      <c r="F37" s="3" t="n">
        <v>3</v>
      </c>
      <c r="G37" s="34">
        <f t="array" ref="G37">_xlfn.IFS(E37&gt;F37,"Local",E37=F37,"Empate",E37&lt;F37,"Visitante")</f>
        <v/>
      </c>
      <c r="H37" s="1">
        <f>E37-F37</f>
        <v/>
      </c>
      <c r="J37" s="6" t="inlineStr">
        <is>
          <t>Grupo</t>
        </is>
      </c>
      <c r="K37" s="6" t="inlineStr">
        <is>
          <t>Posición</t>
        </is>
      </c>
      <c r="L37" s="34" t="inlineStr">
        <is>
          <t>Equipo</t>
        </is>
      </c>
      <c r="M37" s="34" t="inlineStr">
        <is>
          <t>Puntos</t>
        </is>
      </c>
      <c r="N37" s="34" t="inlineStr">
        <is>
          <t>Diferencia</t>
        </is>
      </c>
      <c r="O37" s="34" t="inlineStr">
        <is>
          <t>GF</t>
        </is>
      </c>
      <c r="P37" s="5" t="inlineStr">
        <is>
          <t>GC</t>
        </is>
      </c>
      <c r="Q37" s="5" t="inlineStr">
        <is>
          <t>Victorias</t>
        </is>
      </c>
      <c r="R37" s="5" t="inlineStr">
        <is>
          <t>Empates</t>
        </is>
      </c>
      <c r="S37" s="5" t="inlineStr">
        <is>
          <t>Derrotas</t>
        </is>
      </c>
      <c r="T37" s="5" t="inlineStr">
        <is>
          <t>Victorias_L</t>
        </is>
      </c>
      <c r="U37" s="5" t="inlineStr">
        <is>
          <t>Victorias_V</t>
        </is>
      </c>
      <c r="V37" s="5" t="inlineStr">
        <is>
          <t>Empates_L</t>
        </is>
      </c>
      <c r="W37" s="5" t="inlineStr">
        <is>
          <t>Empates_V</t>
        </is>
      </c>
      <c r="X37" s="5" t="inlineStr">
        <is>
          <t>Derrotas_L</t>
        </is>
      </c>
      <c r="Y37" s="5" t="inlineStr">
        <is>
          <t>Derrotas_V</t>
        </is>
      </c>
      <c r="Z37" s="5" t="inlineStr">
        <is>
          <t>GF_L</t>
        </is>
      </c>
      <c r="AA37" s="5" t="inlineStr">
        <is>
          <t>GF_V</t>
        </is>
      </c>
      <c r="AB37" s="5" t="inlineStr">
        <is>
          <t>GC_L</t>
        </is>
      </c>
      <c r="AC37" s="5" t="inlineStr">
        <is>
          <t>GC_V</t>
        </is>
      </c>
    </row>
    <row r="38">
      <c r="A38" s="34" t="n">
        <v>37</v>
      </c>
      <c r="B38" s="34" t="inlineStr">
        <is>
          <t>G</t>
        </is>
      </c>
      <c r="C38" s="34" t="inlineStr">
        <is>
          <t>Bélgica</t>
        </is>
      </c>
      <c r="D38" s="34" t="inlineStr">
        <is>
          <t>Egipto</t>
        </is>
      </c>
      <c r="E38" s="3" t="n">
        <v>1</v>
      </c>
      <c r="F38" s="3" t="n">
        <v>1</v>
      </c>
      <c r="G38" s="34">
        <f t="array" ref="G38">_xlfn.IFS(E38&gt;F38,"Local",E38=F38,"Empate",E38&lt;F38,"Visitante")</f>
        <v/>
      </c>
      <c r="H38" s="1">
        <f>E38-F38</f>
        <v/>
      </c>
      <c r="J38" s="34" t="inlineStr">
        <is>
          <t>G</t>
        </is>
      </c>
      <c r="K38" s="34" t="n"/>
      <c r="L38" s="34" t="inlineStr">
        <is>
          <t>Bélgica</t>
        </is>
      </c>
      <c r="M38" s="3">
        <f>(Q38*3)+R38</f>
        <v/>
      </c>
      <c r="N38" s="3">
        <f>O38-P38</f>
        <v/>
      </c>
      <c r="O38" s="3">
        <f>Z38+AA38</f>
        <v/>
      </c>
      <c r="P38" s="3">
        <f>AB38+AC38</f>
        <v/>
      </c>
      <c r="Q38" s="34">
        <f>T38+U38</f>
        <v/>
      </c>
      <c r="R38" s="34">
        <f>V38+W38</f>
        <v/>
      </c>
      <c r="S38" s="34">
        <f>X38+Y38</f>
        <v/>
      </c>
      <c r="T38" s="34">
        <f>COUNTIFS(C:C,L38,G:G,"Local")</f>
        <v/>
      </c>
      <c r="U38" s="34">
        <f>COUNTIFS(D:D,L38,G:G,"Visitante")</f>
        <v/>
      </c>
      <c r="V38" s="34">
        <f>COUNTIFS(C:C,L38,G:G,"Empate")</f>
        <v/>
      </c>
      <c r="W38" s="34">
        <f>COUNTIFS(D:D,L38,G:G,"Empate")</f>
        <v/>
      </c>
      <c r="X38" s="34">
        <f>COUNTIFS(C:C,L38,G:G,"Visitante")</f>
        <v/>
      </c>
      <c r="Y38" s="34">
        <f>COUNTIFS(D:D,L38,G:G,"Local")</f>
        <v/>
      </c>
      <c r="Z38" s="34">
        <f>SUMIF(C:C,L38,E:E)</f>
        <v/>
      </c>
      <c r="AA38" s="34">
        <f>SUMIF(D:D,L38,F:F)</f>
        <v/>
      </c>
      <c r="AB38" s="34">
        <f>SUMIF(C:C,L38,F:F)</f>
        <v/>
      </c>
      <c r="AC38" s="34">
        <f>SUMIF(D:D,L38,E:E)</f>
        <v/>
      </c>
    </row>
    <row r="39">
      <c r="A39" s="34" t="n">
        <v>38</v>
      </c>
      <c r="B39" s="34" t="inlineStr">
        <is>
          <t>G</t>
        </is>
      </c>
      <c r="C39" s="34" t="inlineStr">
        <is>
          <t>Irán</t>
        </is>
      </c>
      <c r="D39" s="34" t="inlineStr">
        <is>
          <t>Nueva Zelanda</t>
        </is>
      </c>
      <c r="E39" s="3" t="n">
        <v>2</v>
      </c>
      <c r="F39" s="3" t="n">
        <v>2</v>
      </c>
      <c r="G39" s="34">
        <f t="array" ref="G39">_xlfn.IFS(E39&gt;F39,"Local",E39=F39,"Empate",E39&lt;F39,"Visitante")</f>
        <v/>
      </c>
      <c r="H39" s="1">
        <f>E39-F39</f>
        <v/>
      </c>
      <c r="J39" s="32" t="n"/>
      <c r="K39" s="34" t="n"/>
      <c r="L39" s="34" t="inlineStr">
        <is>
          <t>Egipto</t>
        </is>
      </c>
      <c r="M39" s="3">
        <f>(Q39*3)+R39</f>
        <v/>
      </c>
      <c r="N39" s="3">
        <f>O39-P39</f>
        <v/>
      </c>
      <c r="O39" s="3">
        <f>Z39+AA39</f>
        <v/>
      </c>
      <c r="P39" s="3">
        <f>AB39+AC39</f>
        <v/>
      </c>
      <c r="Q39" s="34">
        <f>T39+U39</f>
        <v/>
      </c>
      <c r="R39" s="34">
        <f>V39+W39</f>
        <v/>
      </c>
      <c r="S39" s="34">
        <f>X39+Y39</f>
        <v/>
      </c>
      <c r="T39" s="34">
        <f>COUNTIFS(C:C,L39,G:G,"Local")</f>
        <v/>
      </c>
      <c r="U39" s="34">
        <f>COUNTIFS(D:D,L39,G:G,"Visitante")</f>
        <v/>
      </c>
      <c r="V39" s="34">
        <f>COUNTIFS(C:C,L39,G:G,"Empate")</f>
        <v/>
      </c>
      <c r="W39" s="34">
        <f>COUNTIFS(D:D,L39,G:G,"Empate")</f>
        <v/>
      </c>
      <c r="X39" s="34">
        <f>COUNTIFS(C:C,L39,G:G,"Visitante")</f>
        <v/>
      </c>
      <c r="Y39" s="34">
        <f>COUNTIFS(D:D,L39,G:G,"Local")</f>
        <v/>
      </c>
      <c r="Z39" s="34">
        <f>SUMIF(C:C,L39,E:E)</f>
        <v/>
      </c>
      <c r="AA39" s="34">
        <f>SUMIF(D:D,L39,F:F)</f>
        <v/>
      </c>
      <c r="AB39" s="34">
        <f>SUMIF(C:C,L39,F:F)</f>
        <v/>
      </c>
      <c r="AC39" s="34">
        <f>SUMIF(D:D,L39,E:E)</f>
        <v/>
      </c>
    </row>
    <row r="40">
      <c r="A40" s="34" t="n">
        <v>39</v>
      </c>
      <c r="B40" s="34" t="inlineStr">
        <is>
          <t>G</t>
        </is>
      </c>
      <c r="C40" s="34" t="inlineStr">
        <is>
          <t>Bélgica</t>
        </is>
      </c>
      <c r="D40" s="34" t="inlineStr">
        <is>
          <t>Irán</t>
        </is>
      </c>
      <c r="E40" s="3" t="n">
        <v>0</v>
      </c>
      <c r="F40" s="3" t="n">
        <v>0</v>
      </c>
      <c r="G40" s="34">
        <f t="array" ref="G40">_xlfn.IFS(E40&gt;F40,"Local",E40=F40,"Empate",E40&lt;F40,"Visitante")</f>
        <v/>
      </c>
      <c r="H40" s="1">
        <f>E40-F40</f>
        <v/>
      </c>
      <c r="J40" s="32" t="n"/>
      <c r="K40" s="34" t="n"/>
      <c r="L40" s="34" t="inlineStr">
        <is>
          <t>Irán</t>
        </is>
      </c>
      <c r="M40" s="3">
        <f>(Q40*3)+R40</f>
        <v/>
      </c>
      <c r="N40" s="3">
        <f>O40-P40</f>
        <v/>
      </c>
      <c r="O40" s="3">
        <f>Z40+AA40</f>
        <v/>
      </c>
      <c r="P40" s="3">
        <f>AB40+AC40</f>
        <v/>
      </c>
      <c r="Q40" s="34">
        <f>T40+U40</f>
        <v/>
      </c>
      <c r="R40" s="34">
        <f>V40+W40</f>
        <v/>
      </c>
      <c r="S40" s="34">
        <f>X40+Y40</f>
        <v/>
      </c>
      <c r="T40" s="34">
        <f>COUNTIFS(C:C,L40,G:G,"Local")</f>
        <v/>
      </c>
      <c r="U40" s="34">
        <f>COUNTIFS(D:D,L40,G:G,"Visitante")</f>
        <v/>
      </c>
      <c r="V40" s="34">
        <f>COUNTIFS(C:C,L40,G:G,"Empate")</f>
        <v/>
      </c>
      <c r="W40" s="34">
        <f>COUNTIFS(D:D,L40,G:G,"Empate")</f>
        <v/>
      </c>
      <c r="X40" s="34">
        <f>COUNTIFS(C:C,L40,G:G,"Visitante")</f>
        <v/>
      </c>
      <c r="Y40" s="34">
        <f>COUNTIFS(D:D,L40,G:G,"Local")</f>
        <v/>
      </c>
      <c r="Z40" s="34">
        <f>SUMIF(C:C,L40,E:E)</f>
        <v/>
      </c>
      <c r="AA40" s="34">
        <f>SUMIF(D:D,L40,F:F)</f>
        <v/>
      </c>
      <c r="AB40" s="34">
        <f>SUMIF(C:C,L40,F:F)</f>
        <v/>
      </c>
      <c r="AC40" s="34">
        <f>SUMIF(D:D,L40,E:E)</f>
        <v/>
      </c>
    </row>
    <row r="41">
      <c r="A41" s="34" t="n">
        <v>40</v>
      </c>
      <c r="B41" s="34" t="inlineStr">
        <is>
          <t>G</t>
        </is>
      </c>
      <c r="C41" s="34" t="inlineStr">
        <is>
          <t>Nueva Zelanda</t>
        </is>
      </c>
      <c r="D41" s="34" t="inlineStr">
        <is>
          <t>Egipto</t>
        </is>
      </c>
      <c r="E41" s="3" t="n">
        <v>1</v>
      </c>
      <c r="F41" s="3" t="n">
        <v>3</v>
      </c>
      <c r="G41" s="34">
        <f t="array" ref="G41">_xlfn.IFS(E41&gt;F41,"Local",E41=F41,"Empate",E41&lt;F41,"Visitante")</f>
        <v/>
      </c>
      <c r="H41" s="1">
        <f>E41-F41</f>
        <v/>
      </c>
      <c r="J41" s="33" t="n"/>
      <c r="K41" s="34" t="n"/>
      <c r="L41" s="34" t="inlineStr">
        <is>
          <t>Nueva Zelanda</t>
        </is>
      </c>
      <c r="M41" s="3">
        <f>(Q41*3)+R41</f>
        <v/>
      </c>
      <c r="N41" s="3">
        <f>O41-P41</f>
        <v/>
      </c>
      <c r="O41" s="3">
        <f>Z41+AA41</f>
        <v/>
      </c>
      <c r="P41" s="3">
        <f>AB41+AC41</f>
        <v/>
      </c>
      <c r="Q41" s="34">
        <f>T41+U41</f>
        <v/>
      </c>
      <c r="R41" s="34">
        <f>V41+W41</f>
        <v/>
      </c>
      <c r="S41" s="34">
        <f>X41+Y41</f>
        <v/>
      </c>
      <c r="T41" s="34">
        <f>COUNTIFS(C:C,L41,G:G,"Local")</f>
        <v/>
      </c>
      <c r="U41" s="34">
        <f>COUNTIFS(D:D,L41,G:G,"Visitante")</f>
        <v/>
      </c>
      <c r="V41" s="34">
        <f>COUNTIFS(C:C,L41,G:G,"Empate")</f>
        <v/>
      </c>
      <c r="W41" s="34">
        <f>COUNTIFS(D:D,L41,G:G,"Empate")</f>
        <v/>
      </c>
      <c r="X41" s="34">
        <f>COUNTIFS(C:C,L41,G:G,"Visitante")</f>
        <v/>
      </c>
      <c r="Y41" s="34">
        <f>COUNTIFS(D:D,L41,G:G,"Local")</f>
        <v/>
      </c>
      <c r="Z41" s="34">
        <f>SUMIF(C:C,L41,E:E)</f>
        <v/>
      </c>
      <c r="AA41" s="34">
        <f>SUMIF(D:D,L41,F:F)</f>
        <v/>
      </c>
      <c r="AB41" s="34">
        <f>SUMIF(C:C,L41,F:F)</f>
        <v/>
      </c>
      <c r="AC41" s="34">
        <f>SUMIF(D:D,L41,E:E)</f>
        <v/>
      </c>
    </row>
    <row r="42">
      <c r="A42" s="34" t="n">
        <v>41</v>
      </c>
      <c r="B42" s="34" t="inlineStr">
        <is>
          <t>G</t>
        </is>
      </c>
      <c r="C42" s="34" t="inlineStr">
        <is>
          <t>Egipto</t>
        </is>
      </c>
      <c r="D42" s="34" t="inlineStr">
        <is>
          <t>Irán</t>
        </is>
      </c>
      <c r="E42" s="3" t="n">
        <v>1</v>
      </c>
      <c r="F42" s="3" t="n">
        <v>1</v>
      </c>
      <c r="G42" s="34">
        <f t="array" ref="G42">_xlfn.IFS(E42&gt;F42,"Local",E42=F42,"Empate",E42&lt;F42,"Visitante")</f>
        <v/>
      </c>
      <c r="H42" s="1">
        <f>E42-F42</f>
        <v/>
      </c>
    </row>
    <row r="43">
      <c r="A43" s="34" t="n">
        <v>42</v>
      </c>
      <c r="B43" s="34" t="inlineStr">
        <is>
          <t>G</t>
        </is>
      </c>
      <c r="C43" s="34" t="inlineStr">
        <is>
          <t>Nueva Zelanda</t>
        </is>
      </c>
      <c r="D43" s="34" t="inlineStr">
        <is>
          <t>Bélgica</t>
        </is>
      </c>
      <c r="E43" s="3" t="n">
        <v>1</v>
      </c>
      <c r="F43" s="3" t="n">
        <v>5</v>
      </c>
      <c r="G43" s="34">
        <f t="array" ref="G43">_xlfn.IFS(E43&gt;F43,"Local",E43=F43,"Empate",E43&lt;F43,"Visitante")</f>
        <v/>
      </c>
      <c r="H43" s="1">
        <f>E43-F43</f>
        <v/>
      </c>
      <c r="J43" s="6" t="inlineStr">
        <is>
          <t>Grupo</t>
        </is>
      </c>
      <c r="K43" s="6" t="inlineStr">
        <is>
          <t>Posición</t>
        </is>
      </c>
      <c r="L43" s="34" t="inlineStr">
        <is>
          <t>Equipo</t>
        </is>
      </c>
      <c r="M43" s="34" t="inlineStr">
        <is>
          <t>Puntos</t>
        </is>
      </c>
      <c r="N43" s="34" t="inlineStr">
        <is>
          <t>Diferencia</t>
        </is>
      </c>
      <c r="O43" s="34" t="inlineStr">
        <is>
          <t>GF</t>
        </is>
      </c>
      <c r="P43" s="5" t="inlineStr">
        <is>
          <t>GC</t>
        </is>
      </c>
      <c r="Q43" s="5" t="inlineStr">
        <is>
          <t>Victorias</t>
        </is>
      </c>
      <c r="R43" s="5" t="inlineStr">
        <is>
          <t>Empates</t>
        </is>
      </c>
      <c r="S43" s="5" t="inlineStr">
        <is>
          <t>Derrotas</t>
        </is>
      </c>
      <c r="T43" s="5" t="inlineStr">
        <is>
          <t>Victorias_L</t>
        </is>
      </c>
      <c r="U43" s="5" t="inlineStr">
        <is>
          <t>Victorias_V</t>
        </is>
      </c>
      <c r="V43" s="5" t="inlineStr">
        <is>
          <t>Empates_L</t>
        </is>
      </c>
      <c r="W43" s="5" t="inlineStr">
        <is>
          <t>Empates_V</t>
        </is>
      </c>
      <c r="X43" s="5" t="inlineStr">
        <is>
          <t>Derrotas_L</t>
        </is>
      </c>
      <c r="Y43" s="5" t="inlineStr">
        <is>
          <t>Derrotas_V</t>
        </is>
      </c>
      <c r="Z43" s="5" t="inlineStr">
        <is>
          <t>GF_L</t>
        </is>
      </c>
      <c r="AA43" s="5" t="inlineStr">
        <is>
          <t>GF_V</t>
        </is>
      </c>
      <c r="AB43" s="5" t="inlineStr">
        <is>
          <t>GC_L</t>
        </is>
      </c>
      <c r="AC43" s="5" t="inlineStr">
        <is>
          <t>GC_V</t>
        </is>
      </c>
    </row>
    <row r="44">
      <c r="A44" s="34" t="n">
        <v>43</v>
      </c>
      <c r="B44" s="34" t="inlineStr">
        <is>
          <t>H</t>
        </is>
      </c>
      <c r="C44" s="34" t="inlineStr">
        <is>
          <t>España</t>
        </is>
      </c>
      <c r="D44" s="34" t="inlineStr">
        <is>
          <t>Cabo Verde</t>
        </is>
      </c>
      <c r="E44" s="3" t="n">
        <v>0</v>
      </c>
      <c r="F44" s="3" t="n">
        <v>0</v>
      </c>
      <c r="G44" s="34">
        <f t="array" ref="G44">_xlfn.IFS(E44&gt;F44,"Local",E44=F44,"Empate",E44&lt;F44,"Visitante")</f>
        <v/>
      </c>
      <c r="H44" s="1">
        <f>E44-F44</f>
        <v/>
      </c>
      <c r="J44" s="34" t="inlineStr">
        <is>
          <t>H</t>
        </is>
      </c>
      <c r="K44" s="34" t="n"/>
      <c r="L44" s="34" t="inlineStr">
        <is>
          <t>España</t>
        </is>
      </c>
      <c r="M44" s="3">
        <f>(Q44*3)+R44</f>
        <v/>
      </c>
      <c r="N44" s="3">
        <f>O44-P44</f>
        <v/>
      </c>
      <c r="O44" s="3">
        <f>Z44+AA44</f>
        <v/>
      </c>
      <c r="P44" s="3">
        <f>AB44+AC44</f>
        <v/>
      </c>
      <c r="Q44" s="34">
        <f>T44+U44</f>
        <v/>
      </c>
      <c r="R44" s="34">
        <f>V44+W44</f>
        <v/>
      </c>
      <c r="S44" s="34">
        <f>X44+Y44</f>
        <v/>
      </c>
      <c r="T44" s="34">
        <f>COUNTIFS(C:C,L44,G:G,"Local")</f>
        <v/>
      </c>
      <c r="U44" s="34">
        <f>COUNTIFS(D:D,L44,G:G,"Visitante")</f>
        <v/>
      </c>
      <c r="V44" s="34">
        <f>COUNTIFS(C:C,L44,G:G,"Empate")</f>
        <v/>
      </c>
      <c r="W44" s="34">
        <f>COUNTIFS(D:D,L44,G:G,"Empate")</f>
        <v/>
      </c>
      <c r="X44" s="34">
        <f>COUNTIFS(C:C,L44,G:G,"Visitante")</f>
        <v/>
      </c>
      <c r="Y44" s="34">
        <f>COUNTIFS(D:D,L44,G:G,"Local")</f>
        <v/>
      </c>
      <c r="Z44" s="34">
        <f>SUMIF(C:C,L44,E:E)</f>
        <v/>
      </c>
      <c r="AA44" s="34">
        <f>SUMIF(D:D,L44,F:F)</f>
        <v/>
      </c>
      <c r="AB44" s="34">
        <f>SUMIF(C:C,L44,F:F)</f>
        <v/>
      </c>
      <c r="AC44" s="34">
        <f>SUMIF(D:D,L44,E:E)</f>
        <v/>
      </c>
    </row>
    <row r="45">
      <c r="A45" s="34" t="n">
        <v>44</v>
      </c>
      <c r="B45" s="34" t="inlineStr">
        <is>
          <t>H</t>
        </is>
      </c>
      <c r="C45" s="34" t="inlineStr">
        <is>
          <t>Arabia Saudí</t>
        </is>
      </c>
      <c r="D45" s="34" t="inlineStr">
        <is>
          <t>Uruguay</t>
        </is>
      </c>
      <c r="E45" s="3" t="n">
        <v>1</v>
      </c>
      <c r="F45" s="3" t="n">
        <v>1</v>
      </c>
      <c r="G45" s="34">
        <f t="array" ref="G45">_xlfn.IFS(E45&gt;F45,"Local",E45=F45,"Empate",E45&lt;F45,"Visitante")</f>
        <v/>
      </c>
      <c r="H45" s="1">
        <f>E45-F45</f>
        <v/>
      </c>
      <c r="J45" s="32" t="n"/>
      <c r="K45" s="34" t="n"/>
      <c r="L45" s="34" t="inlineStr">
        <is>
          <t>Cabo Verde</t>
        </is>
      </c>
      <c r="M45" s="3">
        <f>(Q45*3)+R45</f>
        <v/>
      </c>
      <c r="N45" s="3">
        <f>O45-P45</f>
        <v/>
      </c>
      <c r="O45" s="3">
        <f>Z45+AA45</f>
        <v/>
      </c>
      <c r="P45" s="3">
        <f>AB45+AC45</f>
        <v/>
      </c>
      <c r="Q45" s="34">
        <f>T45+U45</f>
        <v/>
      </c>
      <c r="R45" s="34">
        <f>V45+W45</f>
        <v/>
      </c>
      <c r="S45" s="34">
        <f>X45+Y45</f>
        <v/>
      </c>
      <c r="T45" s="34">
        <f>COUNTIFS(C:C,L45,G:G,"Local")</f>
        <v/>
      </c>
      <c r="U45" s="34">
        <f>COUNTIFS(D:D,L45,G:G,"Visitante")</f>
        <v/>
      </c>
      <c r="V45" s="34">
        <f>COUNTIFS(C:C,L45,G:G,"Empate")</f>
        <v/>
      </c>
      <c r="W45" s="34">
        <f>COUNTIFS(D:D,L45,G:G,"Empate")</f>
        <v/>
      </c>
      <c r="X45" s="34">
        <f>COUNTIFS(C:C,L45,G:G,"Visitante")</f>
        <v/>
      </c>
      <c r="Y45" s="34">
        <f>COUNTIFS(D:D,L45,G:G,"Local")</f>
        <v/>
      </c>
      <c r="Z45" s="34">
        <f>SUMIF(C:C,L45,E:E)</f>
        <v/>
      </c>
      <c r="AA45" s="34">
        <f>SUMIF(D:D,L45,F:F)</f>
        <v/>
      </c>
      <c r="AB45" s="34">
        <f>SUMIF(C:C,L45,F:F)</f>
        <v/>
      </c>
      <c r="AC45" s="34">
        <f>SUMIF(D:D,L45,E:E)</f>
        <v/>
      </c>
    </row>
    <row r="46">
      <c r="A46" s="34" t="n">
        <v>45</v>
      </c>
      <c r="B46" s="34" t="inlineStr">
        <is>
          <t>H</t>
        </is>
      </c>
      <c r="C46" s="34" t="inlineStr">
        <is>
          <t>España</t>
        </is>
      </c>
      <c r="D46" s="34" t="inlineStr">
        <is>
          <t>Arabia Saudí</t>
        </is>
      </c>
      <c r="E46" s="3" t="n">
        <v>4</v>
      </c>
      <c r="F46" s="3" t="n">
        <v>0</v>
      </c>
      <c r="G46" s="34">
        <f t="array" ref="G46">_xlfn.IFS(E46&gt;F46,"Local",E46=F46,"Empate",E46&lt;F46,"Visitante")</f>
        <v/>
      </c>
      <c r="H46" s="1">
        <f>E46-F46</f>
        <v/>
      </c>
      <c r="J46" s="32" t="n"/>
      <c r="K46" s="34" t="n"/>
      <c r="L46" s="34" t="inlineStr">
        <is>
          <t>Arabia Saudí</t>
        </is>
      </c>
      <c r="M46" s="3">
        <f>(Q46*3)+R46</f>
        <v/>
      </c>
      <c r="N46" s="3">
        <f>O46-P46</f>
        <v/>
      </c>
      <c r="O46" s="3">
        <f>Z46+AA46</f>
        <v/>
      </c>
      <c r="P46" s="3">
        <f>AB46+AC46</f>
        <v/>
      </c>
      <c r="Q46" s="34">
        <f>T46+U46</f>
        <v/>
      </c>
      <c r="R46" s="34">
        <f>V46+W46</f>
        <v/>
      </c>
      <c r="S46" s="34">
        <f>X46+Y46</f>
        <v/>
      </c>
      <c r="T46" s="34">
        <f>COUNTIFS(C:C,L46,G:G,"Local")</f>
        <v/>
      </c>
      <c r="U46" s="34">
        <f>COUNTIFS(D:D,L46,G:G,"Visitante")</f>
        <v/>
      </c>
      <c r="V46" s="34">
        <f>COUNTIFS(C:C,L46,G:G,"Empate")</f>
        <v/>
      </c>
      <c r="W46" s="34">
        <f>COUNTIFS(D:D,L46,G:G,"Empate")</f>
        <v/>
      </c>
      <c r="X46" s="34">
        <f>COUNTIFS(C:C,L46,G:G,"Visitante")</f>
        <v/>
      </c>
      <c r="Y46" s="34">
        <f>COUNTIFS(D:D,L46,G:G,"Local")</f>
        <v/>
      </c>
      <c r="Z46" s="34">
        <f>SUMIF(C:C,L46,E:E)</f>
        <v/>
      </c>
      <c r="AA46" s="34">
        <f>SUMIF(D:D,L46,F:F)</f>
        <v/>
      </c>
      <c r="AB46" s="34">
        <f>SUMIF(C:C,L46,F:F)</f>
        <v/>
      </c>
      <c r="AC46" s="34">
        <f>SUMIF(D:D,L46,E:E)</f>
        <v/>
      </c>
    </row>
    <row r="47">
      <c r="A47" s="34" t="n">
        <v>46</v>
      </c>
      <c r="B47" s="34" t="inlineStr">
        <is>
          <t>H</t>
        </is>
      </c>
      <c r="C47" s="34" t="inlineStr">
        <is>
          <t>Uruguay</t>
        </is>
      </c>
      <c r="D47" s="34" t="inlineStr">
        <is>
          <t>Cabo Verde</t>
        </is>
      </c>
      <c r="E47" s="3" t="n">
        <v>2</v>
      </c>
      <c r="F47" s="3" t="n">
        <v>2</v>
      </c>
      <c r="G47" s="34">
        <f t="array" ref="G47">_xlfn.IFS(E47&gt;F47,"Local",E47=F47,"Empate",E47&lt;F47,"Visitante")</f>
        <v/>
      </c>
      <c r="H47" s="1">
        <f>E47-F47</f>
        <v/>
      </c>
      <c r="J47" s="33" t="n"/>
      <c r="K47" s="34" t="n"/>
      <c r="L47" s="34" t="inlineStr">
        <is>
          <t>Uruguay</t>
        </is>
      </c>
      <c r="M47" s="3">
        <f>(Q47*3)+R47</f>
        <v/>
      </c>
      <c r="N47" s="3">
        <f>O47-P47</f>
        <v/>
      </c>
      <c r="O47" s="3">
        <f>Z47+AA47</f>
        <v/>
      </c>
      <c r="P47" s="3">
        <f>AB47+AC47</f>
        <v/>
      </c>
      <c r="Q47" s="34">
        <f>T47+U47</f>
        <v/>
      </c>
      <c r="R47" s="34">
        <f>V47+W47</f>
        <v/>
      </c>
      <c r="S47" s="34">
        <f>X47+Y47</f>
        <v/>
      </c>
      <c r="T47" s="34">
        <f>COUNTIFS(C:C,L47,G:G,"Local")</f>
        <v/>
      </c>
      <c r="U47" s="34">
        <f>COUNTIFS(D:D,L47,G:G,"Visitante")</f>
        <v/>
      </c>
      <c r="V47" s="34">
        <f>COUNTIFS(C:C,L47,G:G,"Empate")</f>
        <v/>
      </c>
      <c r="W47" s="34">
        <f>COUNTIFS(D:D,L47,G:G,"Empate")</f>
        <v/>
      </c>
      <c r="X47" s="34">
        <f>COUNTIFS(C:C,L47,G:G,"Visitante")</f>
        <v/>
      </c>
      <c r="Y47" s="34">
        <f>COUNTIFS(D:D,L47,G:G,"Local")</f>
        <v/>
      </c>
      <c r="Z47" s="34">
        <f>SUMIF(C:C,L47,E:E)</f>
        <v/>
      </c>
      <c r="AA47" s="34">
        <f>SUMIF(D:D,L47,F:F)</f>
        <v/>
      </c>
      <c r="AB47" s="34">
        <f>SUMIF(C:C,L47,F:F)</f>
        <v/>
      </c>
      <c r="AC47" s="34">
        <f>SUMIF(D:D,L47,E:E)</f>
        <v/>
      </c>
    </row>
    <row r="48">
      <c r="A48" s="34" t="n">
        <v>47</v>
      </c>
      <c r="B48" s="34" t="inlineStr">
        <is>
          <t>H</t>
        </is>
      </c>
      <c r="C48" s="34" t="inlineStr">
        <is>
          <t>Cabo Verde</t>
        </is>
      </c>
      <c r="D48" s="34" t="inlineStr">
        <is>
          <t>Arabia Saudí</t>
        </is>
      </c>
      <c r="E48" s="3" t="n">
        <v>0</v>
      </c>
      <c r="F48" s="3" t="n">
        <v>0</v>
      </c>
      <c r="G48" s="34">
        <f t="array" ref="G48">_xlfn.IFS(E48&gt;F48,"Local",E48=F48,"Empate",E48&lt;F48,"Visitante")</f>
        <v/>
      </c>
      <c r="H48" s="1">
        <f>E48-F48</f>
        <v/>
      </c>
    </row>
    <row r="49">
      <c r="A49" s="34" t="n">
        <v>48</v>
      </c>
      <c r="B49" s="34" t="inlineStr">
        <is>
          <t>H</t>
        </is>
      </c>
      <c r="C49" s="34" t="inlineStr">
        <is>
          <t>Uruguay</t>
        </is>
      </c>
      <c r="D49" s="34" t="inlineStr">
        <is>
          <t>España</t>
        </is>
      </c>
      <c r="E49" s="3" t="n">
        <v>0</v>
      </c>
      <c r="F49" s="3" t="n">
        <v>1</v>
      </c>
      <c r="G49" s="34">
        <f t="array" ref="G49">_xlfn.IFS(E49&gt;F49,"Local",E49=F49,"Empate",E49&lt;F49,"Visitante")</f>
        <v/>
      </c>
      <c r="H49" s="1">
        <f>E49-F49</f>
        <v/>
      </c>
      <c r="J49" s="6" t="inlineStr">
        <is>
          <t>Grupo</t>
        </is>
      </c>
      <c r="K49" s="6" t="inlineStr">
        <is>
          <t>Posición</t>
        </is>
      </c>
      <c r="L49" s="34" t="inlineStr">
        <is>
          <t>Equipo</t>
        </is>
      </c>
      <c r="M49" s="34" t="inlineStr">
        <is>
          <t>Puntos</t>
        </is>
      </c>
      <c r="N49" s="34" t="inlineStr">
        <is>
          <t>Diferencia</t>
        </is>
      </c>
      <c r="O49" s="34" t="inlineStr">
        <is>
          <t>GF</t>
        </is>
      </c>
      <c r="P49" s="5" t="inlineStr">
        <is>
          <t>GC</t>
        </is>
      </c>
      <c r="Q49" s="5" t="inlineStr">
        <is>
          <t>Victorias</t>
        </is>
      </c>
      <c r="R49" s="5" t="inlineStr">
        <is>
          <t>Empates</t>
        </is>
      </c>
      <c r="S49" s="5" t="inlineStr">
        <is>
          <t>Derrotas</t>
        </is>
      </c>
      <c r="T49" s="5" t="inlineStr">
        <is>
          <t>Victorias_L</t>
        </is>
      </c>
      <c r="U49" s="5" t="inlineStr">
        <is>
          <t>Victorias_V</t>
        </is>
      </c>
      <c r="V49" s="5" t="inlineStr">
        <is>
          <t>Empates_L</t>
        </is>
      </c>
      <c r="W49" s="5" t="inlineStr">
        <is>
          <t>Empates_V</t>
        </is>
      </c>
      <c r="X49" s="5" t="inlineStr">
        <is>
          <t>Derrotas_L</t>
        </is>
      </c>
      <c r="Y49" s="5" t="inlineStr">
        <is>
          <t>Derrotas_V</t>
        </is>
      </c>
      <c r="Z49" s="5" t="inlineStr">
        <is>
          <t>GF_L</t>
        </is>
      </c>
      <c r="AA49" s="5" t="inlineStr">
        <is>
          <t>GF_V</t>
        </is>
      </c>
      <c r="AB49" s="5" t="inlineStr">
        <is>
          <t>GC_L</t>
        </is>
      </c>
      <c r="AC49" s="5" t="inlineStr">
        <is>
          <t>GC_V</t>
        </is>
      </c>
    </row>
    <row r="50">
      <c r="A50" s="34" t="n">
        <v>49</v>
      </c>
      <c r="B50" s="34" t="inlineStr">
        <is>
          <t>I</t>
        </is>
      </c>
      <c r="C50" s="34" t="inlineStr">
        <is>
          <t>Francia</t>
        </is>
      </c>
      <c r="D50" s="34" t="inlineStr">
        <is>
          <t>Senegal</t>
        </is>
      </c>
      <c r="E50" s="3" t="n">
        <v>3</v>
      </c>
      <c r="F50" s="3" t="n">
        <v>1</v>
      </c>
      <c r="G50" s="34">
        <f t="array" ref="G50">_xlfn.IFS(E50&gt;F50,"Local",E50=F50,"Empate",E50&lt;F50,"Visitante")</f>
        <v/>
      </c>
      <c r="H50" s="1">
        <f>E50-F50</f>
        <v/>
      </c>
      <c r="J50" s="34" t="inlineStr">
        <is>
          <t>I</t>
        </is>
      </c>
      <c r="K50" s="34" t="n"/>
      <c r="L50" s="34" t="inlineStr">
        <is>
          <t>Francia</t>
        </is>
      </c>
      <c r="M50" s="3">
        <f>(Q50*3)+R50</f>
        <v/>
      </c>
      <c r="N50" s="3">
        <f>O50-P50</f>
        <v/>
      </c>
      <c r="O50" s="3">
        <f>Z50+AA50</f>
        <v/>
      </c>
      <c r="P50" s="3">
        <f>AB50+AC50</f>
        <v/>
      </c>
      <c r="Q50" s="34">
        <f>T50+U50</f>
        <v/>
      </c>
      <c r="R50" s="34">
        <f>V50+W50</f>
        <v/>
      </c>
      <c r="S50" s="34">
        <f>X50+Y50</f>
        <v/>
      </c>
      <c r="T50" s="34">
        <f>COUNTIFS(C:C,L50,G:G,"Local")</f>
        <v/>
      </c>
      <c r="U50" s="34">
        <f>COUNTIFS(D:D,L50,G:G,"Visitante")</f>
        <v/>
      </c>
      <c r="V50" s="34">
        <f>COUNTIFS(C:C,L50,G:G,"Empate")</f>
        <v/>
      </c>
      <c r="W50" s="34">
        <f>COUNTIFS(D:D,L50,G:G,"Empate")</f>
        <v/>
      </c>
      <c r="X50" s="34">
        <f>COUNTIFS(C:C,L50,G:G,"Visitante")</f>
        <v/>
      </c>
      <c r="Y50" s="34">
        <f>COUNTIFS(D:D,L50,G:G,"Local")</f>
        <v/>
      </c>
      <c r="Z50" s="34">
        <f>SUMIF(C:C,L50,E:E)</f>
        <v/>
      </c>
      <c r="AA50" s="34">
        <f>SUMIF(D:D,L50,F:F)</f>
        <v/>
      </c>
      <c r="AB50" s="34">
        <f>SUMIF(C:C,L50,F:F)</f>
        <v/>
      </c>
      <c r="AC50" s="34">
        <f>SUMIF(D:D,L50,E:E)</f>
        <v/>
      </c>
    </row>
    <row r="51">
      <c r="A51" s="34" t="n">
        <v>50</v>
      </c>
      <c r="B51" s="34" t="inlineStr">
        <is>
          <t>I</t>
        </is>
      </c>
      <c r="C51" s="34" t="inlineStr">
        <is>
          <t>Irak</t>
        </is>
      </c>
      <c r="D51" s="34" t="inlineStr">
        <is>
          <t>Noruega</t>
        </is>
      </c>
      <c r="E51" s="3" t="n">
        <v>1</v>
      </c>
      <c r="F51" s="3" t="n">
        <v>4</v>
      </c>
      <c r="G51" s="34">
        <f t="array" ref="G51">_xlfn.IFS(E51&gt;F51,"Local",E51=F51,"Empate",E51&lt;F51,"Visitante")</f>
        <v/>
      </c>
      <c r="H51" s="1">
        <f>E51-F51</f>
        <v/>
      </c>
      <c r="J51" s="32" t="n"/>
      <c r="K51" s="34" t="n"/>
      <c r="L51" s="34" t="inlineStr">
        <is>
          <t>Senegal</t>
        </is>
      </c>
      <c r="M51" s="3">
        <f>(Q51*3)+R51</f>
        <v/>
      </c>
      <c r="N51" s="3">
        <f>O51-P51</f>
        <v/>
      </c>
      <c r="O51" s="3">
        <f>Z51+AA51</f>
        <v/>
      </c>
      <c r="P51" s="3">
        <f>AB51+AC51</f>
        <v/>
      </c>
      <c r="Q51" s="34">
        <f>T51+U51</f>
        <v/>
      </c>
      <c r="R51" s="34">
        <f>V51+W51</f>
        <v/>
      </c>
      <c r="S51" s="34">
        <f>X51+Y51</f>
        <v/>
      </c>
      <c r="T51" s="34">
        <f>COUNTIFS(C:C,L51,G:G,"Local")</f>
        <v/>
      </c>
      <c r="U51" s="34">
        <f>COUNTIFS(D:D,L51,G:G,"Visitante")</f>
        <v/>
      </c>
      <c r="V51" s="34">
        <f>COUNTIFS(C:C,L51,G:G,"Empate")</f>
        <v/>
      </c>
      <c r="W51" s="34">
        <f>COUNTIFS(D:D,L51,G:G,"Empate")</f>
        <v/>
      </c>
      <c r="X51" s="34">
        <f>COUNTIFS(C:C,L51,G:G,"Visitante")</f>
        <v/>
      </c>
      <c r="Y51" s="34">
        <f>COUNTIFS(D:D,L51,G:G,"Local")</f>
        <v/>
      </c>
      <c r="Z51" s="34">
        <f>SUMIF(C:C,L51,E:E)</f>
        <v/>
      </c>
      <c r="AA51" s="34">
        <f>SUMIF(D:D,L51,F:F)</f>
        <v/>
      </c>
      <c r="AB51" s="34">
        <f>SUMIF(C:C,L51,F:F)</f>
        <v/>
      </c>
      <c r="AC51" s="34">
        <f>SUMIF(D:D,L51,E:E)</f>
        <v/>
      </c>
    </row>
    <row r="52">
      <c r="A52" s="34" t="n">
        <v>51</v>
      </c>
      <c r="B52" s="34" t="inlineStr">
        <is>
          <t>I</t>
        </is>
      </c>
      <c r="C52" s="34" t="inlineStr">
        <is>
          <t>Francia</t>
        </is>
      </c>
      <c r="D52" s="34" t="inlineStr">
        <is>
          <t>Irak</t>
        </is>
      </c>
      <c r="E52" s="3" t="n">
        <v>3</v>
      </c>
      <c r="F52" s="3" t="n">
        <v>0</v>
      </c>
      <c r="G52" s="34">
        <f t="array" ref="G52">_xlfn.IFS(E52&gt;F52,"Local",E52=F52,"Empate",E52&lt;F52,"Visitante")</f>
        <v/>
      </c>
      <c r="H52" s="1">
        <f>E52-F52</f>
        <v/>
      </c>
      <c r="J52" s="32" t="n"/>
      <c r="K52" s="34" t="n"/>
      <c r="L52" s="34" t="inlineStr">
        <is>
          <t>Irak</t>
        </is>
      </c>
      <c r="M52" s="3">
        <f>(Q52*3)+R52</f>
        <v/>
      </c>
      <c r="N52" s="3">
        <f>O52-P52</f>
        <v/>
      </c>
      <c r="O52" s="3">
        <f>Z52+AA52</f>
        <v/>
      </c>
      <c r="P52" s="3">
        <f>AB52+AC52</f>
        <v/>
      </c>
      <c r="Q52" s="34">
        <f>T52+U52</f>
        <v/>
      </c>
      <c r="R52" s="34">
        <f>V52+W52</f>
        <v/>
      </c>
      <c r="S52" s="34">
        <f>X52+Y52</f>
        <v/>
      </c>
      <c r="T52" s="34">
        <f>COUNTIFS(C:C,L52,G:G,"Local")</f>
        <v/>
      </c>
      <c r="U52" s="34">
        <f>COUNTIFS(D:D,L52,G:G,"Visitante")</f>
        <v/>
      </c>
      <c r="V52" s="34">
        <f>COUNTIFS(C:C,L52,G:G,"Empate")</f>
        <v/>
      </c>
      <c r="W52" s="34">
        <f>COUNTIFS(D:D,L52,G:G,"Empate")</f>
        <v/>
      </c>
      <c r="X52" s="34">
        <f>COUNTIFS(C:C,L52,G:G,"Visitante")</f>
        <v/>
      </c>
      <c r="Y52" s="34">
        <f>COUNTIFS(D:D,L52,G:G,"Local")</f>
        <v/>
      </c>
      <c r="Z52" s="34">
        <f>SUMIF(C:C,L52,E:E)</f>
        <v/>
      </c>
      <c r="AA52" s="34">
        <f>SUMIF(D:D,L52,F:F)</f>
        <v/>
      </c>
      <c r="AB52" s="34">
        <f>SUMIF(C:C,L52,F:F)</f>
        <v/>
      </c>
      <c r="AC52" s="34">
        <f>SUMIF(D:D,L52,E:E)</f>
        <v/>
      </c>
    </row>
    <row r="53">
      <c r="A53" s="34" t="n">
        <v>52</v>
      </c>
      <c r="B53" s="34" t="inlineStr">
        <is>
          <t>I</t>
        </is>
      </c>
      <c r="C53" s="34" t="inlineStr">
        <is>
          <t>Noruega</t>
        </is>
      </c>
      <c r="D53" s="34" t="inlineStr">
        <is>
          <t>Senegal</t>
        </is>
      </c>
      <c r="E53" s="3" t="n">
        <v>3</v>
      </c>
      <c r="F53" s="3" t="n">
        <v>2</v>
      </c>
      <c r="G53" s="34">
        <f t="array" ref="G53">_xlfn.IFS(E53&gt;F53,"Local",E53=F53,"Empate",E53&lt;F53,"Visitante")</f>
        <v/>
      </c>
      <c r="H53" s="1">
        <f>E53-F53</f>
        <v/>
      </c>
      <c r="J53" s="33" t="n"/>
      <c r="K53" s="34" t="n"/>
      <c r="L53" s="34" t="inlineStr">
        <is>
          <t>Noruega</t>
        </is>
      </c>
      <c r="M53" s="3">
        <f>(Q53*3)+R53</f>
        <v/>
      </c>
      <c r="N53" s="3">
        <f>O53-P53</f>
        <v/>
      </c>
      <c r="O53" s="3">
        <f>Z53+AA53</f>
        <v/>
      </c>
      <c r="P53" s="3">
        <f>AB53+AC53</f>
        <v/>
      </c>
      <c r="Q53" s="34">
        <f>T53+U53</f>
        <v/>
      </c>
      <c r="R53" s="34">
        <f>V53+W53</f>
        <v/>
      </c>
      <c r="S53" s="34">
        <f>X53+Y53</f>
        <v/>
      </c>
      <c r="T53" s="34">
        <f>COUNTIFS(C:C,L53,G:G,"Local")</f>
        <v/>
      </c>
      <c r="U53" s="34">
        <f>COUNTIFS(D:D,L53,G:G,"Visitante")</f>
        <v/>
      </c>
      <c r="V53" s="34">
        <f>COUNTIFS(C:C,L53,G:G,"Empate")</f>
        <v/>
      </c>
      <c r="W53" s="34">
        <f>COUNTIFS(D:D,L53,G:G,"Empate")</f>
        <v/>
      </c>
      <c r="X53" s="34">
        <f>COUNTIFS(C:C,L53,G:G,"Visitante")</f>
        <v/>
      </c>
      <c r="Y53" s="34">
        <f>COUNTIFS(D:D,L53,G:G,"Local")</f>
        <v/>
      </c>
      <c r="Z53" s="34">
        <f>SUMIF(C:C,L53,E:E)</f>
        <v/>
      </c>
      <c r="AA53" s="34">
        <f>SUMIF(D:D,L53,F:F)</f>
        <v/>
      </c>
      <c r="AB53" s="34">
        <f>SUMIF(C:C,L53,F:F)</f>
        <v/>
      </c>
      <c r="AC53" s="34">
        <f>SUMIF(D:D,L53,E:E)</f>
        <v/>
      </c>
    </row>
    <row r="54">
      <c r="A54" s="34" t="n">
        <v>53</v>
      </c>
      <c r="B54" s="34" t="inlineStr">
        <is>
          <t>I</t>
        </is>
      </c>
      <c r="C54" s="34" t="inlineStr">
        <is>
          <t>Noruega</t>
        </is>
      </c>
      <c r="D54" s="34" t="inlineStr">
        <is>
          <t>Francia</t>
        </is>
      </c>
      <c r="E54" s="3" t="n">
        <v>1</v>
      </c>
      <c r="F54" s="3" t="n">
        <v>4</v>
      </c>
      <c r="G54" s="34">
        <f t="array" ref="G54">_xlfn.IFS(E54&gt;F54,"Local",E54=F54,"Empate",E54&lt;F54,"Visitante")</f>
        <v/>
      </c>
      <c r="H54" s="1">
        <f>E54-F54</f>
        <v/>
      </c>
    </row>
    <row r="55">
      <c r="A55" s="34" t="n">
        <v>54</v>
      </c>
      <c r="B55" s="34" t="inlineStr">
        <is>
          <t>I</t>
        </is>
      </c>
      <c r="C55" s="34" t="inlineStr">
        <is>
          <t>Senegal</t>
        </is>
      </c>
      <c r="D55" s="34" t="inlineStr">
        <is>
          <t>Irak</t>
        </is>
      </c>
      <c r="E55" s="3" t="n">
        <v>5</v>
      </c>
      <c r="F55" s="3" t="n">
        <v>0</v>
      </c>
      <c r="G55" s="34">
        <f t="array" ref="G55">_xlfn.IFS(E55&gt;F55,"Local",E55=F55,"Empate",E55&lt;F55,"Visitante")</f>
        <v/>
      </c>
      <c r="H55" s="1">
        <f>E55-F55</f>
        <v/>
      </c>
      <c r="J55" s="6" t="inlineStr">
        <is>
          <t>Grupo</t>
        </is>
      </c>
      <c r="K55" s="6" t="inlineStr">
        <is>
          <t>Posición</t>
        </is>
      </c>
      <c r="L55" s="34" t="inlineStr">
        <is>
          <t>Equipo</t>
        </is>
      </c>
      <c r="M55" s="34" t="inlineStr">
        <is>
          <t>Puntos</t>
        </is>
      </c>
      <c r="N55" s="34" t="inlineStr">
        <is>
          <t>Diferencia</t>
        </is>
      </c>
      <c r="O55" s="34" t="inlineStr">
        <is>
          <t>GF</t>
        </is>
      </c>
      <c r="P55" s="5" t="inlineStr">
        <is>
          <t>GC</t>
        </is>
      </c>
      <c r="Q55" s="5" t="inlineStr">
        <is>
          <t>Victorias</t>
        </is>
      </c>
      <c r="R55" s="5" t="inlineStr">
        <is>
          <t>Empates</t>
        </is>
      </c>
      <c r="S55" s="5" t="inlineStr">
        <is>
          <t>Derrotas</t>
        </is>
      </c>
      <c r="T55" s="5" t="inlineStr">
        <is>
          <t>Victorias_L</t>
        </is>
      </c>
      <c r="U55" s="5" t="inlineStr">
        <is>
          <t>Victorias_V</t>
        </is>
      </c>
      <c r="V55" s="5" t="inlineStr">
        <is>
          <t>Empates_L</t>
        </is>
      </c>
      <c r="W55" s="5" t="inlineStr">
        <is>
          <t>Empates_V</t>
        </is>
      </c>
      <c r="X55" s="5" t="inlineStr">
        <is>
          <t>Derrotas_L</t>
        </is>
      </c>
      <c r="Y55" s="5" t="inlineStr">
        <is>
          <t>Derrotas_V</t>
        </is>
      </c>
      <c r="Z55" s="5" t="inlineStr">
        <is>
          <t>GF_L</t>
        </is>
      </c>
      <c r="AA55" s="5" t="inlineStr">
        <is>
          <t>GF_V</t>
        </is>
      </c>
      <c r="AB55" s="5" t="inlineStr">
        <is>
          <t>GC_L</t>
        </is>
      </c>
      <c r="AC55" s="5" t="inlineStr">
        <is>
          <t>GC_V</t>
        </is>
      </c>
    </row>
    <row r="56">
      <c r="A56" s="34" t="n">
        <v>55</v>
      </c>
      <c r="B56" s="34" t="inlineStr">
        <is>
          <t>J</t>
        </is>
      </c>
      <c r="C56" s="34" t="inlineStr">
        <is>
          <t>Argentina</t>
        </is>
      </c>
      <c r="D56" s="34" t="inlineStr">
        <is>
          <t>Argelia</t>
        </is>
      </c>
      <c r="E56" s="3" t="n">
        <v>3</v>
      </c>
      <c r="F56" s="3" t="n">
        <v>0</v>
      </c>
      <c r="G56" s="34">
        <f t="array" ref="G56">_xlfn.IFS(E56&gt;F56,"Local",E56=F56,"Empate",E56&lt;F56,"Visitante")</f>
        <v/>
      </c>
      <c r="H56" s="1">
        <f>E56-F56</f>
        <v/>
      </c>
      <c r="J56" s="34" t="inlineStr">
        <is>
          <t>J</t>
        </is>
      </c>
      <c r="K56" s="34" t="n"/>
      <c r="L56" s="34" t="inlineStr">
        <is>
          <t>Argentina</t>
        </is>
      </c>
      <c r="M56" s="3">
        <f>(Q56*3)+R56</f>
        <v/>
      </c>
      <c r="N56" s="3">
        <f>O56-P56</f>
        <v/>
      </c>
      <c r="O56" s="3">
        <f>Z56+AA56</f>
        <v/>
      </c>
      <c r="P56" s="3">
        <f>AB56+AC56</f>
        <v/>
      </c>
      <c r="Q56" s="34">
        <f>T56+U56</f>
        <v/>
      </c>
      <c r="R56" s="34">
        <f>V56+W56</f>
        <v/>
      </c>
      <c r="S56" s="34">
        <f>X56+Y56</f>
        <v/>
      </c>
      <c r="T56" s="34">
        <f>COUNTIFS(C:C,L56,G:G,"Local")</f>
        <v/>
      </c>
      <c r="U56" s="34">
        <f>COUNTIFS(D:D,L56,G:G,"Visitante")</f>
        <v/>
      </c>
      <c r="V56" s="34">
        <f>COUNTIFS(C:C,L56,G:G,"Empate")</f>
        <v/>
      </c>
      <c r="W56" s="34">
        <f>COUNTIFS(D:D,L56,G:G,"Empate")</f>
        <v/>
      </c>
      <c r="X56" s="34">
        <f>COUNTIFS(C:C,L56,G:G,"Visitante")</f>
        <v/>
      </c>
      <c r="Y56" s="34">
        <f>COUNTIFS(D:D,L56,G:G,"Local")</f>
        <v/>
      </c>
      <c r="Z56" s="34">
        <f>SUMIF(C:C,L56,E:E)</f>
        <v/>
      </c>
      <c r="AA56" s="34">
        <f>SUMIF(D:D,L56,F:F)</f>
        <v/>
      </c>
      <c r="AB56" s="34">
        <f>SUMIF(C:C,L56,F:F)</f>
        <v/>
      </c>
      <c r="AC56" s="34">
        <f>SUMIF(D:D,L56,E:E)</f>
        <v/>
      </c>
    </row>
    <row r="57">
      <c r="A57" s="34" t="n">
        <v>56</v>
      </c>
      <c r="B57" s="34" t="inlineStr">
        <is>
          <t>J</t>
        </is>
      </c>
      <c r="C57" s="34" t="inlineStr">
        <is>
          <t>Austria</t>
        </is>
      </c>
      <c r="D57" s="34" t="inlineStr">
        <is>
          <t>Jordania</t>
        </is>
      </c>
      <c r="E57" s="3" t="n">
        <v>3</v>
      </c>
      <c r="F57" s="3" t="n">
        <v>1</v>
      </c>
      <c r="G57" s="34">
        <f t="array" ref="G57">_xlfn.IFS(E57&gt;F57,"Local",E57=F57,"Empate",E57&lt;F57,"Visitante")</f>
        <v/>
      </c>
      <c r="H57" s="1">
        <f>E57-F57</f>
        <v/>
      </c>
      <c r="J57" s="32" t="n"/>
      <c r="K57" s="34" t="n"/>
      <c r="L57" s="34" t="inlineStr">
        <is>
          <t>Argelia</t>
        </is>
      </c>
      <c r="M57" s="3">
        <f>(Q57*3)+R57</f>
        <v/>
      </c>
      <c r="N57" s="3">
        <f>O57-P57</f>
        <v/>
      </c>
      <c r="O57" s="3">
        <f>Z57+AA57</f>
        <v/>
      </c>
      <c r="P57" s="3">
        <f>AB57+AC57</f>
        <v/>
      </c>
      <c r="Q57" s="34">
        <f>T57+U57</f>
        <v/>
      </c>
      <c r="R57" s="34">
        <f>V57+W57</f>
        <v/>
      </c>
      <c r="S57" s="34">
        <f>X57+Y57</f>
        <v/>
      </c>
      <c r="T57" s="34">
        <f>COUNTIFS(C:C,L57,G:G,"Local")</f>
        <v/>
      </c>
      <c r="U57" s="34">
        <f>COUNTIFS(D:D,L57,G:G,"Visitante")</f>
        <v/>
      </c>
      <c r="V57" s="34">
        <f>COUNTIFS(C:C,L57,G:G,"Empate")</f>
        <v/>
      </c>
      <c r="W57" s="34">
        <f>COUNTIFS(D:D,L57,G:G,"Empate")</f>
        <v/>
      </c>
      <c r="X57" s="34">
        <f>COUNTIFS(C:C,L57,G:G,"Visitante")</f>
        <v/>
      </c>
      <c r="Y57" s="34">
        <f>COUNTIFS(D:D,L57,G:G,"Local")</f>
        <v/>
      </c>
      <c r="Z57" s="34">
        <f>SUMIF(C:C,L57,E:E)</f>
        <v/>
      </c>
      <c r="AA57" s="34">
        <f>SUMIF(D:D,L57,F:F)</f>
        <v/>
      </c>
      <c r="AB57" s="34">
        <f>SUMIF(C:C,L57,F:F)</f>
        <v/>
      </c>
      <c r="AC57" s="34">
        <f>SUMIF(D:D,L57,E:E)</f>
        <v/>
      </c>
    </row>
    <row r="58">
      <c r="A58" s="34" t="n">
        <v>57</v>
      </c>
      <c r="B58" s="34" t="inlineStr">
        <is>
          <t>J</t>
        </is>
      </c>
      <c r="C58" s="34" t="inlineStr">
        <is>
          <t>Argentina</t>
        </is>
      </c>
      <c r="D58" s="34" t="inlineStr">
        <is>
          <t>Austria</t>
        </is>
      </c>
      <c r="E58" s="3" t="n">
        <v>2</v>
      </c>
      <c r="F58" s="3" t="n">
        <v>0</v>
      </c>
      <c r="G58" s="34">
        <f t="array" ref="G58">_xlfn.IFS(E58&gt;F58,"Local",E58=F58,"Empate",E58&lt;F58,"Visitante")</f>
        <v/>
      </c>
      <c r="H58" s="1">
        <f>E58-F58</f>
        <v/>
      </c>
      <c r="J58" s="32" t="n"/>
      <c r="K58" s="34" t="n"/>
      <c r="L58" s="34" t="inlineStr">
        <is>
          <t>Austria</t>
        </is>
      </c>
      <c r="M58" s="3">
        <f>(Q58*3)+R58</f>
        <v/>
      </c>
      <c r="N58" s="3">
        <f>O58-P58</f>
        <v/>
      </c>
      <c r="O58" s="3">
        <f>Z58+AA58</f>
        <v/>
      </c>
      <c r="P58" s="3">
        <f>AB58+AC58</f>
        <v/>
      </c>
      <c r="Q58" s="34">
        <f>T58+U58</f>
        <v/>
      </c>
      <c r="R58" s="34">
        <f>V58+W58</f>
        <v/>
      </c>
      <c r="S58" s="34">
        <f>X58+Y58</f>
        <v/>
      </c>
      <c r="T58" s="34">
        <f>COUNTIFS(C:C,L58,G:G,"Local")</f>
        <v/>
      </c>
      <c r="U58" s="34">
        <f>COUNTIFS(D:D,L58,G:G,"Visitante")</f>
        <v/>
      </c>
      <c r="V58" s="34">
        <f>COUNTIFS(C:C,L58,G:G,"Empate")</f>
        <v/>
      </c>
      <c r="W58" s="34">
        <f>COUNTIFS(D:D,L58,G:G,"Empate")</f>
        <v/>
      </c>
      <c r="X58" s="34">
        <f>COUNTIFS(C:C,L58,G:G,"Visitante")</f>
        <v/>
      </c>
      <c r="Y58" s="34">
        <f>COUNTIFS(D:D,L58,G:G,"Local")</f>
        <v/>
      </c>
      <c r="Z58" s="34">
        <f>SUMIF(C:C,L58,E:E)</f>
        <v/>
      </c>
      <c r="AA58" s="34">
        <f>SUMIF(D:D,L58,F:F)</f>
        <v/>
      </c>
      <c r="AB58" s="34">
        <f>SUMIF(C:C,L58,F:F)</f>
        <v/>
      </c>
      <c r="AC58" s="34">
        <f>SUMIF(D:D,L58,E:E)</f>
        <v/>
      </c>
    </row>
    <row r="59">
      <c r="A59" s="34" t="n">
        <v>58</v>
      </c>
      <c r="B59" s="34" t="inlineStr">
        <is>
          <t>J</t>
        </is>
      </c>
      <c r="C59" s="34" t="inlineStr">
        <is>
          <t>Jordania</t>
        </is>
      </c>
      <c r="D59" s="34" t="inlineStr">
        <is>
          <t>Argelia</t>
        </is>
      </c>
      <c r="E59" s="3" t="n">
        <v>1</v>
      </c>
      <c r="F59" s="3" t="n">
        <v>2</v>
      </c>
      <c r="G59" s="34">
        <f t="array" ref="G59">_xlfn.IFS(E59&gt;F59,"Local",E59=F59,"Empate",E59&lt;F59,"Visitante")</f>
        <v/>
      </c>
      <c r="H59" s="1">
        <f>E59-F59</f>
        <v/>
      </c>
      <c r="J59" s="33" t="n"/>
      <c r="K59" s="34" t="n"/>
      <c r="L59" s="34" t="inlineStr">
        <is>
          <t>Jordania</t>
        </is>
      </c>
      <c r="M59" s="3">
        <f>(Q59*3)+R59</f>
        <v/>
      </c>
      <c r="N59" s="3">
        <f>O59-P59</f>
        <v/>
      </c>
      <c r="O59" s="3">
        <f>Z59+AA59</f>
        <v/>
      </c>
      <c r="P59" s="3">
        <f>AB59+AC59</f>
        <v/>
      </c>
      <c r="Q59" s="34">
        <f>T59+U59</f>
        <v/>
      </c>
      <c r="R59" s="34">
        <f>V59+W59</f>
        <v/>
      </c>
      <c r="S59" s="34">
        <f>X59+Y59</f>
        <v/>
      </c>
      <c r="T59" s="34">
        <f>COUNTIFS(C:C,L59,G:G,"Local")</f>
        <v/>
      </c>
      <c r="U59" s="34">
        <f>COUNTIFS(D:D,L59,G:G,"Visitante")</f>
        <v/>
      </c>
      <c r="V59" s="34">
        <f>COUNTIFS(C:C,L59,G:G,"Empate")</f>
        <v/>
      </c>
      <c r="W59" s="34">
        <f>COUNTIFS(D:D,L59,G:G,"Empate")</f>
        <v/>
      </c>
      <c r="X59" s="34">
        <f>COUNTIFS(C:C,L59,G:G,"Visitante")</f>
        <v/>
      </c>
      <c r="Y59" s="34">
        <f>COUNTIFS(D:D,L59,G:G,"Local")</f>
        <v/>
      </c>
      <c r="Z59" s="34">
        <f>SUMIF(C:C,L59,E:E)</f>
        <v/>
      </c>
      <c r="AA59" s="34">
        <f>SUMIF(D:D,L59,F:F)</f>
        <v/>
      </c>
      <c r="AB59" s="34">
        <f>SUMIF(C:C,L59,F:F)</f>
        <v/>
      </c>
      <c r="AC59" s="34">
        <f>SUMIF(D:D,L59,E:E)</f>
        <v/>
      </c>
    </row>
    <row r="60">
      <c r="A60" s="34" t="n">
        <v>59</v>
      </c>
      <c r="B60" s="34" t="inlineStr">
        <is>
          <t>J</t>
        </is>
      </c>
      <c r="C60" s="34" t="inlineStr">
        <is>
          <t>Argelia</t>
        </is>
      </c>
      <c r="D60" s="34" t="inlineStr">
        <is>
          <t>Austria</t>
        </is>
      </c>
      <c r="E60" s="3" t="n">
        <v>3</v>
      </c>
      <c r="F60" s="3" t="n">
        <v>3</v>
      </c>
      <c r="G60" s="34">
        <f t="array" ref="G60">_xlfn.IFS(E60&gt;F60,"Local",E60=F60,"Empate",E60&lt;F60,"Visitante")</f>
        <v/>
      </c>
      <c r="H60" s="1">
        <f>E60-F60</f>
        <v/>
      </c>
    </row>
    <row r="61">
      <c r="A61" s="34" t="n">
        <v>60</v>
      </c>
      <c r="B61" s="34" t="inlineStr">
        <is>
          <t>J</t>
        </is>
      </c>
      <c r="C61" s="34" t="inlineStr">
        <is>
          <t>Jordania</t>
        </is>
      </c>
      <c r="D61" s="34" t="inlineStr">
        <is>
          <t>Argentina</t>
        </is>
      </c>
      <c r="E61" s="3" t="n">
        <v>1</v>
      </c>
      <c r="F61" s="3" t="n">
        <v>3</v>
      </c>
      <c r="G61" s="34">
        <f t="array" ref="G61">_xlfn.IFS(E61&gt;F61,"Local",E61=F61,"Empate",E61&lt;F61,"Visitante")</f>
        <v/>
      </c>
      <c r="H61" s="1">
        <f>E61-F61</f>
        <v/>
      </c>
      <c r="J61" s="6" t="inlineStr">
        <is>
          <t>Grupo</t>
        </is>
      </c>
      <c r="K61" s="6" t="inlineStr">
        <is>
          <t>Posición</t>
        </is>
      </c>
      <c r="L61" s="34" t="inlineStr">
        <is>
          <t>Equipo</t>
        </is>
      </c>
      <c r="M61" s="34" t="inlineStr">
        <is>
          <t>Puntos</t>
        </is>
      </c>
      <c r="N61" s="34" t="inlineStr">
        <is>
          <t>Diferencia</t>
        </is>
      </c>
      <c r="O61" s="34" t="inlineStr">
        <is>
          <t>GF</t>
        </is>
      </c>
      <c r="P61" s="5" t="inlineStr">
        <is>
          <t>GC</t>
        </is>
      </c>
      <c r="Q61" s="5" t="inlineStr">
        <is>
          <t>Victorias</t>
        </is>
      </c>
      <c r="R61" s="5" t="inlineStr">
        <is>
          <t>Empates</t>
        </is>
      </c>
      <c r="S61" s="5" t="inlineStr">
        <is>
          <t>Derrotas</t>
        </is>
      </c>
      <c r="T61" s="5" t="inlineStr">
        <is>
          <t>Victorias_L</t>
        </is>
      </c>
      <c r="U61" s="5" t="inlineStr">
        <is>
          <t>Victorias_V</t>
        </is>
      </c>
      <c r="V61" s="5" t="inlineStr">
        <is>
          <t>Empates_L</t>
        </is>
      </c>
      <c r="W61" s="5" t="inlineStr">
        <is>
          <t>Empates_V</t>
        </is>
      </c>
      <c r="X61" s="5" t="inlineStr">
        <is>
          <t>Derrotas_L</t>
        </is>
      </c>
      <c r="Y61" s="5" t="inlineStr">
        <is>
          <t>Derrotas_V</t>
        </is>
      </c>
      <c r="Z61" s="5" t="inlineStr">
        <is>
          <t>GF_L</t>
        </is>
      </c>
      <c r="AA61" s="5" t="inlineStr">
        <is>
          <t>GF_V</t>
        </is>
      </c>
      <c r="AB61" s="5" t="inlineStr">
        <is>
          <t>GC_L</t>
        </is>
      </c>
      <c r="AC61" s="5" t="inlineStr">
        <is>
          <t>GC_V</t>
        </is>
      </c>
    </row>
    <row r="62">
      <c r="A62" s="34" t="n">
        <v>61</v>
      </c>
      <c r="B62" s="34" t="inlineStr">
        <is>
          <t>K</t>
        </is>
      </c>
      <c r="C62" s="34" t="inlineStr">
        <is>
          <t>Portugal</t>
        </is>
      </c>
      <c r="D62" s="34" t="inlineStr">
        <is>
          <t>RD Congo</t>
        </is>
      </c>
      <c r="E62" s="3" t="n">
        <v>1</v>
      </c>
      <c r="F62" s="3" t="n">
        <v>1</v>
      </c>
      <c r="G62" s="34">
        <f t="array" ref="G62">_xlfn.IFS(E62&gt;F62,"Local",E62=F62,"Empate",E62&lt;F62,"Visitante")</f>
        <v/>
      </c>
      <c r="H62" s="1">
        <f>E62-F62</f>
        <v/>
      </c>
      <c r="J62" s="34" t="inlineStr">
        <is>
          <t>K</t>
        </is>
      </c>
      <c r="K62" s="34" t="n"/>
      <c r="L62" s="34" t="inlineStr">
        <is>
          <t>Portugal</t>
        </is>
      </c>
      <c r="M62" s="3">
        <f>(Q62*3)+R62</f>
        <v/>
      </c>
      <c r="N62" s="3">
        <f>O62-P62</f>
        <v/>
      </c>
      <c r="O62" s="3">
        <f>Z62+AA62</f>
        <v/>
      </c>
      <c r="P62" s="3">
        <f>AB62+AC62</f>
        <v/>
      </c>
      <c r="Q62" s="34">
        <f>T62+U62</f>
        <v/>
      </c>
      <c r="R62" s="34">
        <f>V62+W62</f>
        <v/>
      </c>
      <c r="S62" s="34">
        <f>X62+Y62</f>
        <v/>
      </c>
      <c r="T62" s="34">
        <f>COUNTIFS(C:C,L62,G:G,"Local")</f>
        <v/>
      </c>
      <c r="U62" s="34">
        <f>COUNTIFS(D:D,L62,G:G,"Visitante")</f>
        <v/>
      </c>
      <c r="V62" s="34">
        <f>COUNTIFS(C:C,L62,G:G,"Empate")</f>
        <v/>
      </c>
      <c r="W62" s="34">
        <f>COUNTIFS(D:D,L62,G:G,"Empate")</f>
        <v/>
      </c>
      <c r="X62" s="34">
        <f>COUNTIFS(C:C,L62,G:G,"Visitante")</f>
        <v/>
      </c>
      <c r="Y62" s="34">
        <f>COUNTIFS(D:D,L62,G:G,"Local")</f>
        <v/>
      </c>
      <c r="Z62" s="34">
        <f>SUMIF(C:C,L62,E:E)</f>
        <v/>
      </c>
      <c r="AA62" s="34">
        <f>SUMIF(D:D,L62,F:F)</f>
        <v/>
      </c>
      <c r="AB62" s="34">
        <f>SUMIF(C:C,L62,F:F)</f>
        <v/>
      </c>
      <c r="AC62" s="34">
        <f>SUMIF(D:D,L62,E:E)</f>
        <v/>
      </c>
    </row>
    <row r="63">
      <c r="A63" s="34" t="n">
        <v>62</v>
      </c>
      <c r="B63" s="34" t="inlineStr">
        <is>
          <t>K</t>
        </is>
      </c>
      <c r="C63" s="34" t="inlineStr">
        <is>
          <t>Uzbekistán</t>
        </is>
      </c>
      <c r="D63" s="34" t="inlineStr">
        <is>
          <t>Colombia</t>
        </is>
      </c>
      <c r="E63" s="3" t="n">
        <v>1</v>
      </c>
      <c r="F63" s="3" t="n">
        <v>3</v>
      </c>
      <c r="G63" s="34">
        <f t="array" ref="G63">_xlfn.IFS(E63&gt;F63,"Local",E63=F63,"Empate",E63&lt;F63,"Visitante")</f>
        <v/>
      </c>
      <c r="H63" s="1">
        <f>E63-F63</f>
        <v/>
      </c>
      <c r="J63" s="32" t="n"/>
      <c r="K63" s="34" t="n"/>
      <c r="L63" s="34" t="inlineStr">
        <is>
          <t>RD Congo</t>
        </is>
      </c>
      <c r="M63" s="3">
        <f>(Q63*3)+R63</f>
        <v/>
      </c>
      <c r="N63" s="3">
        <f>O63-P63</f>
        <v/>
      </c>
      <c r="O63" s="3">
        <f>Z63+AA63</f>
        <v/>
      </c>
      <c r="P63" s="3">
        <f>AB63+AC63</f>
        <v/>
      </c>
      <c r="Q63" s="34">
        <f>T63+U63</f>
        <v/>
      </c>
      <c r="R63" s="34">
        <f>V63+W63</f>
        <v/>
      </c>
      <c r="S63" s="34">
        <f>X63+Y63</f>
        <v/>
      </c>
      <c r="T63" s="34">
        <f>COUNTIFS(C:C,L63,G:G,"Local")</f>
        <v/>
      </c>
      <c r="U63" s="34">
        <f>COUNTIFS(D:D,L63,G:G,"Visitante")</f>
        <v/>
      </c>
      <c r="V63" s="34">
        <f>COUNTIFS(C:C,L63,G:G,"Empate")</f>
        <v/>
      </c>
      <c r="W63" s="34">
        <f>COUNTIFS(D:D,L63,G:G,"Empate")</f>
        <v/>
      </c>
      <c r="X63" s="34">
        <f>COUNTIFS(C:C,L63,G:G,"Visitante")</f>
        <v/>
      </c>
      <c r="Y63" s="34">
        <f>COUNTIFS(D:D,L63,G:G,"Local")</f>
        <v/>
      </c>
      <c r="Z63" s="34">
        <f>SUMIF(C:C,L63,E:E)</f>
        <v/>
      </c>
      <c r="AA63" s="34">
        <f>SUMIF(D:D,L63,F:F)</f>
        <v/>
      </c>
      <c r="AB63" s="34">
        <f>SUMIF(C:C,L63,F:F)</f>
        <v/>
      </c>
      <c r="AC63" s="34">
        <f>SUMIF(D:D,L63,E:E)</f>
        <v/>
      </c>
    </row>
    <row r="64">
      <c r="A64" s="34" t="n">
        <v>63</v>
      </c>
      <c r="B64" s="34" t="inlineStr">
        <is>
          <t>K</t>
        </is>
      </c>
      <c r="C64" s="34" t="inlineStr">
        <is>
          <t>Portugal</t>
        </is>
      </c>
      <c r="D64" s="34" t="inlineStr">
        <is>
          <t>Uzbekistán</t>
        </is>
      </c>
      <c r="E64" s="3" t="n">
        <v>5</v>
      </c>
      <c r="F64" s="3" t="n">
        <v>0</v>
      </c>
      <c r="G64" s="34">
        <f t="array" ref="G64">_xlfn.IFS(E64&gt;F64,"Local",E64=F64,"Empate",E64&lt;F64,"Visitante")</f>
        <v/>
      </c>
      <c r="H64" s="1">
        <f>E64-F64</f>
        <v/>
      </c>
      <c r="J64" s="32" t="n"/>
      <c r="K64" s="34" t="n"/>
      <c r="L64" s="34" t="inlineStr">
        <is>
          <t>Uzbekistán</t>
        </is>
      </c>
      <c r="M64" s="3">
        <f>(Q64*3)+R64</f>
        <v/>
      </c>
      <c r="N64" s="3">
        <f>O64-P64</f>
        <v/>
      </c>
      <c r="O64" s="3">
        <f>Z64+AA64</f>
        <v/>
      </c>
      <c r="P64" s="3">
        <f>AB64+AC64</f>
        <v/>
      </c>
      <c r="Q64" s="34">
        <f>T64+U64</f>
        <v/>
      </c>
      <c r="R64" s="34">
        <f>V64+W64</f>
        <v/>
      </c>
      <c r="S64" s="34">
        <f>X64+Y64</f>
        <v/>
      </c>
      <c r="T64" s="34">
        <f>COUNTIFS(C:C,L64,G:G,"Local")</f>
        <v/>
      </c>
      <c r="U64" s="34">
        <f>COUNTIFS(D:D,L64,G:G,"Visitante")</f>
        <v/>
      </c>
      <c r="V64" s="34">
        <f>COUNTIFS(C:C,L64,G:G,"Empate")</f>
        <v/>
      </c>
      <c r="W64" s="34">
        <f>COUNTIFS(D:D,L64,G:G,"Empate")</f>
        <v/>
      </c>
      <c r="X64" s="34">
        <f>COUNTIFS(C:C,L64,G:G,"Visitante")</f>
        <v/>
      </c>
      <c r="Y64" s="34">
        <f>COUNTIFS(D:D,L64,G:G,"Local")</f>
        <v/>
      </c>
      <c r="Z64" s="34">
        <f>SUMIF(C:C,L64,E:E)</f>
        <v/>
      </c>
      <c r="AA64" s="34">
        <f>SUMIF(D:D,L64,F:F)</f>
        <v/>
      </c>
      <c r="AB64" s="34">
        <f>SUMIF(C:C,L64,F:F)</f>
        <v/>
      </c>
      <c r="AC64" s="34">
        <f>SUMIF(D:D,L64,E:E)</f>
        <v/>
      </c>
    </row>
    <row r="65">
      <c r="A65" s="34" t="n">
        <v>64</v>
      </c>
      <c r="B65" s="34" t="inlineStr">
        <is>
          <t>K</t>
        </is>
      </c>
      <c r="C65" s="34" t="inlineStr">
        <is>
          <t>Colombia</t>
        </is>
      </c>
      <c r="D65" s="34" t="inlineStr">
        <is>
          <t>RD Congo</t>
        </is>
      </c>
      <c r="E65" s="3" t="n">
        <v>1</v>
      </c>
      <c r="F65" s="3" t="n">
        <v>0</v>
      </c>
      <c r="G65" s="34">
        <f t="array" ref="G65">_xlfn.IFS(E65&gt;F65,"Local",E65=F65,"Empate",E65&lt;F65,"Visitante")</f>
        <v/>
      </c>
      <c r="H65" s="1">
        <f>E65-F65</f>
        <v/>
      </c>
      <c r="J65" s="33" t="n"/>
      <c r="K65" s="34" t="n"/>
      <c r="L65" s="34" t="inlineStr">
        <is>
          <t>Colombia</t>
        </is>
      </c>
      <c r="M65" s="3">
        <f>(Q65*3)+R65</f>
        <v/>
      </c>
      <c r="N65" s="3">
        <f>O65-P65</f>
        <v/>
      </c>
      <c r="O65" s="3">
        <f>Z65+AA65</f>
        <v/>
      </c>
      <c r="P65" s="3">
        <f>AB65+AC65</f>
        <v/>
      </c>
      <c r="Q65" s="34">
        <f>T65+U65</f>
        <v/>
      </c>
      <c r="R65" s="34">
        <f>V65+W65</f>
        <v/>
      </c>
      <c r="S65" s="34">
        <f>X65+Y65</f>
        <v/>
      </c>
      <c r="T65" s="34">
        <f>COUNTIFS(C:C,L65,G:G,"Local")</f>
        <v/>
      </c>
      <c r="U65" s="34">
        <f>COUNTIFS(D:D,L65,G:G,"Visitante")</f>
        <v/>
      </c>
      <c r="V65" s="34">
        <f>COUNTIFS(C:C,L65,G:G,"Empate")</f>
        <v/>
      </c>
      <c r="W65" s="34">
        <f>COUNTIFS(D:D,L65,G:G,"Empate")</f>
        <v/>
      </c>
      <c r="X65" s="34">
        <f>COUNTIFS(C:C,L65,G:G,"Visitante")</f>
        <v/>
      </c>
      <c r="Y65" s="34">
        <f>COUNTIFS(D:D,L65,G:G,"Local")</f>
        <v/>
      </c>
      <c r="Z65" s="34">
        <f>SUMIF(C:C,L65,E:E)</f>
        <v/>
      </c>
      <c r="AA65" s="34">
        <f>SUMIF(D:D,L65,F:F)</f>
        <v/>
      </c>
      <c r="AB65" s="34">
        <f>SUMIF(C:C,L65,F:F)</f>
        <v/>
      </c>
      <c r="AC65" s="34">
        <f>SUMIF(D:D,L65,E:E)</f>
        <v/>
      </c>
    </row>
    <row r="66">
      <c r="A66" s="34" t="n">
        <v>65</v>
      </c>
      <c r="B66" s="34" t="inlineStr">
        <is>
          <t>K</t>
        </is>
      </c>
      <c r="C66" s="34" t="inlineStr">
        <is>
          <t>Colombia</t>
        </is>
      </c>
      <c r="D66" s="34" t="inlineStr">
        <is>
          <t>Portugal</t>
        </is>
      </c>
      <c r="E66" s="3" t="n">
        <v>0</v>
      </c>
      <c r="F66" s="3" t="n">
        <v>0</v>
      </c>
      <c r="G66" s="34">
        <f t="array" ref="G66">_xlfn.IFS(E66&gt;F66,"Local",E66=F66,"Empate",E66&lt;F66,"Visitante")</f>
        <v/>
      </c>
      <c r="H66" s="1">
        <f>E66-F66</f>
        <v/>
      </c>
    </row>
    <row r="67">
      <c r="A67" s="34" t="n">
        <v>66</v>
      </c>
      <c r="B67" s="34" t="inlineStr">
        <is>
          <t>K</t>
        </is>
      </c>
      <c r="C67" s="34" t="inlineStr">
        <is>
          <t>RD Congo</t>
        </is>
      </c>
      <c r="D67" s="34" t="inlineStr">
        <is>
          <t>Uzbekistán</t>
        </is>
      </c>
      <c r="E67" s="3" t="n">
        <v>3</v>
      </c>
      <c r="F67" s="3" t="n">
        <v>1</v>
      </c>
      <c r="G67" s="34">
        <f t="array" ref="G67">_xlfn.IFS(E67&gt;F67,"Local",E67=F67,"Empate",E67&lt;F67,"Visitante")</f>
        <v/>
      </c>
      <c r="H67" s="1">
        <f>E67-F67</f>
        <v/>
      </c>
      <c r="J67" s="6" t="inlineStr">
        <is>
          <t>Grupo</t>
        </is>
      </c>
      <c r="K67" s="6" t="inlineStr">
        <is>
          <t>Posición</t>
        </is>
      </c>
      <c r="L67" s="34" t="inlineStr">
        <is>
          <t>Equipo</t>
        </is>
      </c>
      <c r="M67" s="34" t="inlineStr">
        <is>
          <t>Puntos</t>
        </is>
      </c>
      <c r="N67" s="34" t="inlineStr">
        <is>
          <t>Diferencia</t>
        </is>
      </c>
      <c r="O67" s="34" t="inlineStr">
        <is>
          <t>GF</t>
        </is>
      </c>
      <c r="P67" s="5" t="inlineStr">
        <is>
          <t>GC</t>
        </is>
      </c>
      <c r="Q67" s="5" t="inlineStr">
        <is>
          <t>Victorias</t>
        </is>
      </c>
      <c r="R67" s="5" t="inlineStr">
        <is>
          <t>Empates</t>
        </is>
      </c>
      <c r="S67" s="5" t="inlineStr">
        <is>
          <t>Derrotas</t>
        </is>
      </c>
      <c r="T67" s="5" t="inlineStr">
        <is>
          <t>Victorias_L</t>
        </is>
      </c>
      <c r="U67" s="5" t="inlineStr">
        <is>
          <t>Victorias_V</t>
        </is>
      </c>
      <c r="V67" s="5" t="inlineStr">
        <is>
          <t>Empates_L</t>
        </is>
      </c>
      <c r="W67" s="5" t="inlineStr">
        <is>
          <t>Empates_V</t>
        </is>
      </c>
      <c r="X67" s="5" t="inlineStr">
        <is>
          <t>Derrotas_L</t>
        </is>
      </c>
      <c r="Y67" s="5" t="inlineStr">
        <is>
          <t>Derrotas_V</t>
        </is>
      </c>
      <c r="Z67" s="5" t="inlineStr">
        <is>
          <t>GF_L</t>
        </is>
      </c>
      <c r="AA67" s="5" t="inlineStr">
        <is>
          <t>GF_V</t>
        </is>
      </c>
      <c r="AB67" s="5" t="inlineStr">
        <is>
          <t>GC_L</t>
        </is>
      </c>
      <c r="AC67" s="5" t="inlineStr">
        <is>
          <t>GC_V</t>
        </is>
      </c>
    </row>
    <row r="68">
      <c r="A68" s="34" t="n">
        <v>67</v>
      </c>
      <c r="B68" s="34" t="inlineStr">
        <is>
          <t>L</t>
        </is>
      </c>
      <c r="C68" s="34" t="inlineStr">
        <is>
          <t>Inglaterra</t>
        </is>
      </c>
      <c r="D68" s="34" t="inlineStr">
        <is>
          <t>Croacia</t>
        </is>
      </c>
      <c r="E68" s="3" t="n">
        <v>4</v>
      </c>
      <c r="F68" s="3" t="n">
        <v>2</v>
      </c>
      <c r="G68" s="34">
        <f t="array" ref="G68">_xlfn.IFS(E68&gt;F68,"Local",E68=F68,"Empate",E68&lt;F68,"Visitante")</f>
        <v/>
      </c>
      <c r="H68" s="1">
        <f>E68-F68</f>
        <v/>
      </c>
      <c r="J68" s="34" t="inlineStr">
        <is>
          <t>L</t>
        </is>
      </c>
      <c r="K68" s="34" t="n"/>
      <c r="L68" s="34" t="inlineStr">
        <is>
          <t>Inglaterra</t>
        </is>
      </c>
      <c r="M68" s="3">
        <f>(Q68*3)+R68</f>
        <v/>
      </c>
      <c r="N68" s="3">
        <f>O68-P68</f>
        <v/>
      </c>
      <c r="O68" s="3">
        <f>Z68+AA68</f>
        <v/>
      </c>
      <c r="P68" s="3">
        <f>AB68+AC68</f>
        <v/>
      </c>
      <c r="Q68" s="34">
        <f>T68+U68</f>
        <v/>
      </c>
      <c r="R68" s="34">
        <f>V68+W68</f>
        <v/>
      </c>
      <c r="S68" s="34">
        <f>X68+Y68</f>
        <v/>
      </c>
      <c r="T68" s="34">
        <f>COUNTIFS(C:C,L68,G:G,"Local")</f>
        <v/>
      </c>
      <c r="U68" s="34">
        <f>COUNTIFS(D:D,L68,G:G,"Visitante")</f>
        <v/>
      </c>
      <c r="V68" s="34">
        <f>COUNTIFS(C:C,L68,G:G,"Empate")</f>
        <v/>
      </c>
      <c r="W68" s="34">
        <f>COUNTIFS(D:D,L68,G:G,"Empate")</f>
        <v/>
      </c>
      <c r="X68" s="34">
        <f>COUNTIFS(C:C,L68,G:G,"Visitante")</f>
        <v/>
      </c>
      <c r="Y68" s="34">
        <f>COUNTIFS(D:D,L68,G:G,"Local")</f>
        <v/>
      </c>
      <c r="Z68" s="34">
        <f>SUMIF(C:C,L68,E:E)</f>
        <v/>
      </c>
      <c r="AA68" s="34">
        <f>SUMIF(D:D,L68,F:F)</f>
        <v/>
      </c>
      <c r="AB68" s="34">
        <f>SUMIF(C:C,L68,F:F)</f>
        <v/>
      </c>
      <c r="AC68" s="34">
        <f>SUMIF(D:D,L68,E:E)</f>
        <v/>
      </c>
    </row>
    <row r="69">
      <c r="A69" s="34" t="n">
        <v>68</v>
      </c>
      <c r="B69" s="34" t="inlineStr">
        <is>
          <t>L</t>
        </is>
      </c>
      <c r="C69" s="34" t="inlineStr">
        <is>
          <t>Ghana</t>
        </is>
      </c>
      <c r="D69" s="34" t="inlineStr">
        <is>
          <t>Panamá</t>
        </is>
      </c>
      <c r="E69" s="3" t="n">
        <v>1</v>
      </c>
      <c r="F69" s="3" t="n">
        <v>0</v>
      </c>
      <c r="G69" s="34">
        <f t="array" ref="G69">_xlfn.IFS(E69&gt;F69,"Local",E69=F69,"Empate",E69&lt;F69,"Visitante")</f>
        <v/>
      </c>
      <c r="H69" s="1">
        <f>E69-F69</f>
        <v/>
      </c>
      <c r="J69" s="32" t="n"/>
      <c r="K69" s="34" t="n"/>
      <c r="L69" s="34" t="inlineStr">
        <is>
          <t>Croacia</t>
        </is>
      </c>
      <c r="M69" s="3">
        <f>(Q69*3)+R69</f>
        <v/>
      </c>
      <c r="N69" s="3">
        <f>O69-P69</f>
        <v/>
      </c>
      <c r="O69" s="3">
        <f>Z69+AA69</f>
        <v/>
      </c>
      <c r="P69" s="3">
        <f>AB69+AC69</f>
        <v/>
      </c>
      <c r="Q69" s="34">
        <f>T69+U69</f>
        <v/>
      </c>
      <c r="R69" s="34">
        <f>V69+W69</f>
        <v/>
      </c>
      <c r="S69" s="34">
        <f>X69+Y69</f>
        <v/>
      </c>
      <c r="T69" s="34">
        <f>COUNTIFS(C:C,L69,G:G,"Local")</f>
        <v/>
      </c>
      <c r="U69" s="34">
        <f>COUNTIFS(D:D,L69,G:G,"Visitante")</f>
        <v/>
      </c>
      <c r="V69" s="34">
        <f>COUNTIFS(C:C,L69,G:G,"Empate")</f>
        <v/>
      </c>
      <c r="W69" s="34">
        <f>COUNTIFS(D:D,L69,G:G,"Empate")</f>
        <v/>
      </c>
      <c r="X69" s="34">
        <f>COUNTIFS(C:C,L69,G:G,"Visitante")</f>
        <v/>
      </c>
      <c r="Y69" s="34">
        <f>COUNTIFS(D:D,L69,G:G,"Local")</f>
        <v/>
      </c>
      <c r="Z69" s="34">
        <f>SUMIF(C:C,L69,E:E)</f>
        <v/>
      </c>
      <c r="AA69" s="34">
        <f>SUMIF(D:D,L69,F:F)</f>
        <v/>
      </c>
      <c r="AB69" s="34">
        <f>SUMIF(C:C,L69,F:F)</f>
        <v/>
      </c>
      <c r="AC69" s="34">
        <f>SUMIF(D:D,L69,E:E)</f>
        <v/>
      </c>
    </row>
    <row r="70">
      <c r="A70" s="34" t="n">
        <v>69</v>
      </c>
      <c r="B70" s="34" t="inlineStr">
        <is>
          <t>L</t>
        </is>
      </c>
      <c r="C70" s="34" t="inlineStr">
        <is>
          <t>Inglaterra</t>
        </is>
      </c>
      <c r="D70" s="34" t="inlineStr">
        <is>
          <t>Ghana</t>
        </is>
      </c>
      <c r="E70" s="3" t="n">
        <v>0</v>
      </c>
      <c r="F70" s="3" t="n">
        <v>0</v>
      </c>
      <c r="G70" s="34">
        <f t="array" ref="G70">_xlfn.IFS(E70&gt;F70,"Local",E70=F70,"Empate",E70&lt;F70,"Visitante")</f>
        <v/>
      </c>
      <c r="H70" s="1">
        <f>E70-F70</f>
        <v/>
      </c>
      <c r="J70" s="32" t="n"/>
      <c r="K70" s="34" t="n"/>
      <c r="L70" s="34" t="inlineStr">
        <is>
          <t>Ghana</t>
        </is>
      </c>
      <c r="M70" s="3">
        <f>(Q70*3)+R70</f>
        <v/>
      </c>
      <c r="N70" s="3">
        <f>O70-P70</f>
        <v/>
      </c>
      <c r="O70" s="3">
        <f>Z70+AA70</f>
        <v/>
      </c>
      <c r="P70" s="3">
        <f>AB70+AC70</f>
        <v/>
      </c>
      <c r="Q70" s="34">
        <f>T70+U70</f>
        <v/>
      </c>
      <c r="R70" s="34">
        <f>V70+W70</f>
        <v/>
      </c>
      <c r="S70" s="34">
        <f>X70+Y70</f>
        <v/>
      </c>
      <c r="T70" s="34">
        <f>COUNTIFS(C:C,L70,G:G,"Local")</f>
        <v/>
      </c>
      <c r="U70" s="34">
        <f>COUNTIFS(D:D,L70,G:G,"Visitante")</f>
        <v/>
      </c>
      <c r="V70" s="34">
        <f>COUNTIFS(C:C,L70,G:G,"Empate")</f>
        <v/>
      </c>
      <c r="W70" s="34">
        <f>COUNTIFS(D:D,L70,G:G,"Empate")</f>
        <v/>
      </c>
      <c r="X70" s="34">
        <f>COUNTIFS(C:C,L70,G:G,"Visitante")</f>
        <v/>
      </c>
      <c r="Y70" s="34">
        <f>COUNTIFS(D:D,L70,G:G,"Local")</f>
        <v/>
      </c>
      <c r="Z70" s="34">
        <f>SUMIF(C:C,L70,E:E)</f>
        <v/>
      </c>
      <c r="AA70" s="34">
        <f>SUMIF(D:D,L70,F:F)</f>
        <v/>
      </c>
      <c r="AB70" s="34">
        <f>SUMIF(C:C,L70,F:F)</f>
        <v/>
      </c>
      <c r="AC70" s="34">
        <f>SUMIF(D:D,L70,E:E)</f>
        <v/>
      </c>
    </row>
    <row r="71">
      <c r="A71" s="34" t="n">
        <v>70</v>
      </c>
      <c r="B71" s="34" t="inlineStr">
        <is>
          <t>L</t>
        </is>
      </c>
      <c r="C71" s="34" t="inlineStr">
        <is>
          <t>Panamá</t>
        </is>
      </c>
      <c r="D71" s="34" t="inlineStr">
        <is>
          <t>Croacia</t>
        </is>
      </c>
      <c r="E71" s="3" t="n">
        <v>0</v>
      </c>
      <c r="F71" s="3" t="n">
        <v>1</v>
      </c>
      <c r="G71" s="34">
        <f t="array" ref="G71">_xlfn.IFS(E71&gt;F71,"Local",E71=F71,"Empate",E71&lt;F71,"Visitante")</f>
        <v/>
      </c>
      <c r="H71" s="1">
        <f>E71-F71</f>
        <v/>
      </c>
      <c r="J71" s="33" t="n"/>
      <c r="K71" s="34" t="n"/>
      <c r="L71" s="34" t="inlineStr">
        <is>
          <t>Panamá</t>
        </is>
      </c>
      <c r="M71" s="3">
        <f>(Q71*3)+R71</f>
        <v/>
      </c>
      <c r="N71" s="3">
        <f>O71-P71</f>
        <v/>
      </c>
      <c r="O71" s="3">
        <f>Z71+AA71</f>
        <v/>
      </c>
      <c r="P71" s="3">
        <f>AB71+AC71</f>
        <v/>
      </c>
      <c r="Q71" s="34">
        <f>T71+U71</f>
        <v/>
      </c>
      <c r="R71" s="34">
        <f>V71+W71</f>
        <v/>
      </c>
      <c r="S71" s="34">
        <f>X71+Y71</f>
        <v/>
      </c>
      <c r="T71" s="34">
        <f>COUNTIFS(C:C,L71,G:G,"Local")</f>
        <v/>
      </c>
      <c r="U71" s="34">
        <f>COUNTIFS(D:D,L71,G:G,"Visitante")</f>
        <v/>
      </c>
      <c r="V71" s="34">
        <f>COUNTIFS(C:C,L71,G:G,"Empate")</f>
        <v/>
      </c>
      <c r="W71" s="34">
        <f>COUNTIFS(D:D,L71,G:G,"Empate")</f>
        <v/>
      </c>
      <c r="X71" s="34">
        <f>COUNTIFS(C:C,L71,G:G,"Visitante")</f>
        <v/>
      </c>
      <c r="Y71" s="34">
        <f>COUNTIFS(D:D,L71,G:G,"Local")</f>
        <v/>
      </c>
      <c r="Z71" s="34">
        <f>SUMIF(C:C,L71,E:E)</f>
        <v/>
      </c>
      <c r="AA71" s="34">
        <f>SUMIF(D:D,L71,F:F)</f>
        <v/>
      </c>
      <c r="AB71" s="34">
        <f>SUMIF(C:C,L71,F:F)</f>
        <v/>
      </c>
      <c r="AC71" s="34">
        <f>SUMIF(D:D,L71,E:E)</f>
        <v/>
      </c>
    </row>
    <row r="72">
      <c r="A72" s="34" t="n">
        <v>71</v>
      </c>
      <c r="B72" s="34" t="inlineStr">
        <is>
          <t>L</t>
        </is>
      </c>
      <c r="C72" s="34" t="inlineStr">
        <is>
          <t>Panamá</t>
        </is>
      </c>
      <c r="D72" s="34" t="inlineStr">
        <is>
          <t>Inglaterra</t>
        </is>
      </c>
      <c r="E72" s="3" t="n">
        <v>0</v>
      </c>
      <c r="F72" s="3" t="n">
        <v>2</v>
      </c>
      <c r="G72" s="34">
        <f t="array" ref="G72">_xlfn.IFS(E72&gt;F72,"Local",E72=F72,"Empate",E72&lt;F72,"Visitante")</f>
        <v/>
      </c>
      <c r="H72" s="1">
        <f>E72-F72</f>
        <v/>
      </c>
    </row>
    <row r="73">
      <c r="A73" s="34" t="n">
        <v>72</v>
      </c>
      <c r="B73" s="34" t="inlineStr">
        <is>
          <t>L</t>
        </is>
      </c>
      <c r="C73" s="34" t="inlineStr">
        <is>
          <t>Croacia</t>
        </is>
      </c>
      <c r="D73" s="34" t="inlineStr">
        <is>
          <t>Ghana</t>
        </is>
      </c>
      <c r="E73" s="3" t="n">
        <v>2</v>
      </c>
      <c r="F73" s="3" t="n">
        <v>1</v>
      </c>
      <c r="G73" s="34">
        <f t="array" ref="G73">_xlfn.IFS(E73&gt;F73,"Local",E73=F73,"Empate",E73&lt;F73,"Visitante")</f>
        <v/>
      </c>
      <c r="H73" s="1">
        <f>E73-F73</f>
        <v/>
      </c>
    </row>
  </sheetData>
  <mergeCells count="12">
    <mergeCell ref="J32:J35"/>
    <mergeCell ref="J26:J29"/>
    <mergeCell ref="J56:J59"/>
    <mergeCell ref="J68:J71"/>
    <mergeCell ref="J8:J11"/>
    <mergeCell ref="J2:J5"/>
    <mergeCell ref="J20:J23"/>
    <mergeCell ref="J50:J53"/>
    <mergeCell ref="J38:J41"/>
    <mergeCell ref="J14:J17"/>
    <mergeCell ref="J44:J47"/>
    <mergeCell ref="J62:J6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G3" sqref="G3"/>
    </sheetView>
  </sheetViews>
  <sheetFormatPr baseColWidth="10" defaultRowHeight="15"/>
  <cols>
    <col width="20.1640625" bestFit="1" customWidth="1" min="1" max="1"/>
    <col width="12.33203125" bestFit="1" customWidth="1" min="2" max="2"/>
  </cols>
  <sheetData>
    <row r="1">
      <c r="A1" s="34" t="inlineStr">
        <is>
          <t>Dieciseisavos</t>
        </is>
      </c>
      <c r="B1" s="34" t="inlineStr">
        <is>
          <t>Octavos</t>
        </is>
      </c>
      <c r="C1" s="34" t="inlineStr">
        <is>
          <t>Cuartos</t>
        </is>
      </c>
      <c r="D1" s="34" t="inlineStr">
        <is>
          <t>Semifinal</t>
        </is>
      </c>
      <c r="E1" s="34" t="inlineStr">
        <is>
          <t>Tercero</t>
        </is>
      </c>
      <c r="F1" s="34" t="inlineStr">
        <is>
          <t>Final</t>
        </is>
      </c>
      <c r="G1" s="34" t="inlineStr">
        <is>
          <t>Campeón</t>
        </is>
      </c>
    </row>
    <row r="2">
      <c r="A2" s="3" t="inlineStr">
        <is>
          <t>México</t>
        </is>
      </c>
      <c r="B2" s="3" t="inlineStr">
        <is>
          <t>Canadá</t>
        </is>
      </c>
      <c r="C2" s="3" t="inlineStr">
        <is>
          <t>Marruecos</t>
        </is>
      </c>
      <c r="D2" s="3" t="inlineStr">
        <is>
          <t>Francia</t>
        </is>
      </c>
      <c r="E2" s="3" t="inlineStr">
        <is>
          <t>Inglaterra</t>
        </is>
      </c>
      <c r="F2" s="3" t="inlineStr">
        <is>
          <t>España</t>
        </is>
      </c>
      <c r="G2" s="3" t="inlineStr">
        <is>
          <t>España</t>
        </is>
      </c>
    </row>
    <row r="3">
      <c r="A3" s="3" t="inlineStr">
        <is>
          <t>Sudáfrica</t>
        </is>
      </c>
      <c r="B3" s="3" t="inlineStr">
        <is>
          <t>Brasil</t>
        </is>
      </c>
      <c r="C3" s="3" t="inlineStr">
        <is>
          <t>Francia</t>
        </is>
      </c>
      <c r="D3" s="3" t="inlineStr">
        <is>
          <t>España</t>
        </is>
      </c>
      <c r="E3" s="18" t="n"/>
      <c r="F3" s="3" t="inlineStr">
        <is>
          <t>Argentina</t>
        </is>
      </c>
      <c r="G3" s="18" t="n"/>
    </row>
    <row r="4">
      <c r="A4" s="3" t="inlineStr">
        <is>
          <t>Suiza</t>
        </is>
      </c>
      <c r="B4" s="3" t="inlineStr">
        <is>
          <t>Paraguay</t>
        </is>
      </c>
      <c r="C4" s="3" t="inlineStr">
        <is>
          <t>Noruega</t>
        </is>
      </c>
      <c r="D4" s="3" t="inlineStr">
        <is>
          <t>Inglaterra</t>
        </is>
      </c>
      <c r="E4" s="18" t="n"/>
      <c r="F4" s="18" t="n"/>
      <c r="G4" s="18" t="n"/>
    </row>
    <row r="5">
      <c r="A5" s="3" t="inlineStr">
        <is>
          <t>Canadá</t>
        </is>
      </c>
      <c r="B5" s="3" t="inlineStr">
        <is>
          <t>Marruecos</t>
        </is>
      </c>
      <c r="C5" s="3" t="inlineStr">
        <is>
          <t>Inglaterra</t>
        </is>
      </c>
      <c r="D5" s="3" t="inlineStr">
        <is>
          <t>Argentina</t>
        </is>
      </c>
      <c r="E5" s="18" t="n"/>
      <c r="F5" s="18" t="n"/>
      <c r="G5" s="18" t="n"/>
    </row>
    <row r="6">
      <c r="A6" s="3" t="inlineStr">
        <is>
          <t>Bosnia y Herzegovina</t>
        </is>
      </c>
      <c r="B6" s="3" t="inlineStr">
        <is>
          <t>Noruega</t>
        </is>
      </c>
      <c r="C6" s="3" t="inlineStr">
        <is>
          <t>España</t>
        </is>
      </c>
      <c r="D6" s="18" t="n"/>
      <c r="E6" s="18" t="n"/>
      <c r="F6" s="18" t="n"/>
      <c r="G6" s="18" t="n"/>
    </row>
    <row r="7">
      <c r="A7" s="3" t="inlineStr">
        <is>
          <t>Brasil</t>
        </is>
      </c>
      <c r="B7" s="3" t="inlineStr">
        <is>
          <t>Francia</t>
        </is>
      </c>
      <c r="C7" s="3" t="inlineStr">
        <is>
          <t>Bélgica</t>
        </is>
      </c>
      <c r="D7" s="18" t="n"/>
      <c r="E7" s="18" t="n"/>
      <c r="F7" s="18" t="n"/>
      <c r="G7" s="18" t="n"/>
    </row>
    <row r="8">
      <c r="A8" s="3" t="inlineStr">
        <is>
          <t>Marruecos</t>
        </is>
      </c>
      <c r="B8" s="3" t="inlineStr">
        <is>
          <t>México</t>
        </is>
      </c>
      <c r="C8" s="3" t="inlineStr">
        <is>
          <t>Argentina</t>
        </is>
      </c>
      <c r="D8" s="18" t="n"/>
      <c r="E8" s="18" t="n"/>
      <c r="F8" s="18" t="n"/>
      <c r="G8" s="18" t="n"/>
    </row>
    <row r="9">
      <c r="A9" s="3" t="inlineStr">
        <is>
          <t>Estados Unidos</t>
        </is>
      </c>
      <c r="B9" s="3" t="inlineStr">
        <is>
          <t>Inglaterra</t>
        </is>
      </c>
      <c r="C9" s="3" t="inlineStr">
        <is>
          <t>Suiza</t>
        </is>
      </c>
      <c r="D9" s="18" t="n"/>
      <c r="E9" s="18" t="n"/>
      <c r="F9" s="18" t="n"/>
      <c r="G9" s="18" t="n"/>
    </row>
    <row r="10">
      <c r="A10" s="3" t="inlineStr">
        <is>
          <t>Australia</t>
        </is>
      </c>
      <c r="B10" s="3" t="inlineStr">
        <is>
          <t>Bélgica</t>
        </is>
      </c>
      <c r="C10" s="18" t="n"/>
      <c r="D10" s="18" t="n"/>
      <c r="E10" s="18" t="n"/>
      <c r="F10" s="18" t="n"/>
      <c r="G10" s="18" t="n"/>
    </row>
    <row r="11">
      <c r="A11" s="3" t="inlineStr">
        <is>
          <t>Paraguay</t>
        </is>
      </c>
      <c r="B11" s="3" t="inlineStr">
        <is>
          <t>Estados Unidos</t>
        </is>
      </c>
      <c r="C11" s="18" t="n"/>
      <c r="D11" s="18" t="n"/>
      <c r="E11" s="18" t="n"/>
      <c r="F11" s="18" t="n"/>
      <c r="G11" s="18" t="n"/>
    </row>
    <row r="12">
      <c r="A12" s="3" t="inlineStr">
        <is>
          <t>Alemania</t>
        </is>
      </c>
      <c r="B12" s="3" t="inlineStr">
        <is>
          <t>España</t>
        </is>
      </c>
      <c r="C12" s="18" t="n"/>
      <c r="D12" s="18" t="n"/>
      <c r="E12" s="18" t="n"/>
      <c r="F12" s="18" t="n"/>
      <c r="G12" s="18" t="n"/>
    </row>
    <row r="13">
      <c r="A13" s="3" t="inlineStr">
        <is>
          <t>Costa de Marfil</t>
        </is>
      </c>
      <c r="B13" s="3" t="inlineStr">
        <is>
          <t>Portugal</t>
        </is>
      </c>
      <c r="C13" s="18" t="n"/>
      <c r="D13" s="18" t="n"/>
      <c r="E13" s="18" t="n"/>
      <c r="F13" s="18" t="n"/>
      <c r="G13" s="18" t="n"/>
    </row>
    <row r="14">
      <c r="A14" s="3" t="inlineStr">
        <is>
          <t>Ecuador</t>
        </is>
      </c>
      <c r="B14" s="3" t="inlineStr">
        <is>
          <t>Suiza</t>
        </is>
      </c>
      <c r="C14" s="18" t="n"/>
      <c r="D14" s="18" t="n"/>
      <c r="E14" s="18" t="n"/>
      <c r="F14" s="18" t="n"/>
      <c r="G14" s="18" t="n"/>
    </row>
    <row r="15">
      <c r="A15" s="3" t="inlineStr">
        <is>
          <t>Países Bajos</t>
        </is>
      </c>
      <c r="B15" s="3" t="inlineStr">
        <is>
          <t>Egipto</t>
        </is>
      </c>
      <c r="C15" s="18" t="n"/>
      <c r="D15" s="18" t="n"/>
      <c r="E15" s="18" t="n"/>
      <c r="F15" s="18" t="n"/>
      <c r="G15" s="18" t="n"/>
    </row>
    <row r="16">
      <c r="A16" s="3" t="inlineStr">
        <is>
          <t>Japón</t>
        </is>
      </c>
      <c r="B16" s="3" t="inlineStr">
        <is>
          <t>Argentina</t>
        </is>
      </c>
      <c r="C16" s="18" t="n"/>
      <c r="D16" s="18" t="n"/>
      <c r="E16" s="18" t="n"/>
      <c r="F16" s="18" t="n"/>
      <c r="G16" s="18" t="n"/>
    </row>
    <row r="17">
      <c r="A17" s="3" t="inlineStr">
        <is>
          <t>Suecia</t>
        </is>
      </c>
      <c r="B17" s="3" t="inlineStr">
        <is>
          <t>Colombia</t>
        </is>
      </c>
      <c r="C17" s="18" t="n"/>
      <c r="D17" s="18" t="n"/>
      <c r="E17" s="18" t="n"/>
      <c r="F17" s="18" t="n"/>
      <c r="G17" s="18" t="n"/>
    </row>
    <row r="18">
      <c r="A18" s="3" t="inlineStr">
        <is>
          <t>Bélgica</t>
        </is>
      </c>
      <c r="B18" s="18" t="n"/>
      <c r="C18" s="18" t="n"/>
      <c r="D18" s="18" t="n"/>
      <c r="E18" s="18" t="n"/>
      <c r="F18" s="18" t="n"/>
      <c r="G18" s="18" t="n"/>
    </row>
    <row r="19">
      <c r="A19" s="3" t="inlineStr">
        <is>
          <t>Egipto</t>
        </is>
      </c>
      <c r="B19" s="18" t="n"/>
      <c r="C19" s="18" t="n"/>
      <c r="D19" s="18" t="n"/>
      <c r="E19" s="18" t="n"/>
      <c r="F19" s="18" t="n"/>
      <c r="G19" s="18" t="n"/>
    </row>
    <row r="20">
      <c r="A20" s="3" t="inlineStr">
        <is>
          <t>España</t>
        </is>
      </c>
      <c r="B20" s="18" t="n"/>
      <c r="C20" s="18" t="n"/>
      <c r="D20" s="18" t="n"/>
      <c r="E20" s="18" t="n"/>
      <c r="F20" s="18" t="n"/>
      <c r="G20" s="18" t="n"/>
    </row>
    <row r="21">
      <c r="A21" s="3" t="inlineStr">
        <is>
          <t>Cabo Verde</t>
        </is>
      </c>
      <c r="B21" s="18" t="n"/>
      <c r="C21" s="18" t="n"/>
      <c r="D21" s="18" t="n"/>
      <c r="E21" s="18" t="n"/>
      <c r="F21" s="18" t="n"/>
      <c r="G21" s="18" t="n"/>
    </row>
    <row r="22">
      <c r="A22" s="3" t="inlineStr">
        <is>
          <t>Francia</t>
        </is>
      </c>
      <c r="B22" s="18" t="n"/>
      <c r="C22" s="18" t="n"/>
      <c r="D22" s="18" t="n"/>
      <c r="E22" s="18" t="n"/>
      <c r="F22" s="18" t="n"/>
      <c r="G22" s="18" t="n"/>
    </row>
    <row r="23">
      <c r="A23" s="3" t="inlineStr">
        <is>
          <t>Noruega</t>
        </is>
      </c>
      <c r="B23" s="18" t="n"/>
      <c r="C23" s="18" t="n"/>
      <c r="D23" s="18" t="n"/>
      <c r="E23" s="18" t="n"/>
      <c r="F23" s="18" t="n"/>
      <c r="G23" s="18" t="n"/>
    </row>
    <row r="24">
      <c r="A24" s="3" t="inlineStr">
        <is>
          <t>Senegal</t>
        </is>
      </c>
      <c r="B24" s="18" t="n"/>
      <c r="C24" s="18" t="n"/>
      <c r="D24" s="18" t="n"/>
      <c r="E24" s="18" t="n"/>
      <c r="F24" s="18" t="n"/>
      <c r="G24" s="18" t="n"/>
    </row>
    <row r="25">
      <c r="A25" s="3" t="inlineStr">
        <is>
          <t>Argentina</t>
        </is>
      </c>
      <c r="B25" s="18" t="n"/>
      <c r="C25" s="18" t="n"/>
      <c r="D25" s="18" t="n"/>
      <c r="E25" s="18" t="n"/>
      <c r="F25" s="18" t="n"/>
      <c r="G25" s="18" t="n"/>
    </row>
    <row r="26">
      <c r="A26" s="3" t="inlineStr">
        <is>
          <t>Austria</t>
        </is>
      </c>
      <c r="B26" s="18" t="n"/>
      <c r="C26" s="18" t="n"/>
      <c r="D26" s="18" t="n"/>
      <c r="E26" s="18" t="n"/>
      <c r="F26" s="18" t="n"/>
      <c r="G26" s="18" t="n"/>
    </row>
    <row r="27">
      <c r="A27" s="3" t="inlineStr">
        <is>
          <t>Argelia</t>
        </is>
      </c>
      <c r="B27" s="18" t="n"/>
      <c r="C27" s="18" t="n"/>
      <c r="D27" s="18" t="n"/>
      <c r="E27" s="18" t="n"/>
      <c r="F27" s="18" t="n"/>
      <c r="G27" s="18" t="n"/>
    </row>
    <row r="28">
      <c r="A28" s="3" t="inlineStr">
        <is>
          <t>Colombia</t>
        </is>
      </c>
      <c r="B28" s="18" t="n"/>
      <c r="C28" s="18" t="n"/>
      <c r="D28" s="18" t="n"/>
      <c r="E28" s="18" t="n"/>
      <c r="F28" s="18" t="n"/>
      <c r="G28" s="18" t="n"/>
    </row>
    <row r="29">
      <c r="A29" s="3" t="inlineStr">
        <is>
          <t>Portugal</t>
        </is>
      </c>
      <c r="B29" s="18" t="n"/>
      <c r="C29" s="18" t="n"/>
      <c r="D29" s="18" t="n"/>
      <c r="E29" s="18" t="n"/>
      <c r="F29" s="18" t="n"/>
      <c r="G29" s="18" t="n"/>
    </row>
    <row r="30">
      <c r="A30" s="3" t="inlineStr">
        <is>
          <t>RD Congo</t>
        </is>
      </c>
      <c r="B30" s="18" t="n"/>
      <c r="C30" s="18" t="n"/>
      <c r="D30" s="18" t="n"/>
      <c r="E30" s="18" t="n"/>
      <c r="F30" s="18" t="n"/>
      <c r="G30" s="18" t="n"/>
    </row>
    <row r="31">
      <c r="A31" s="3" t="inlineStr">
        <is>
          <t>Inglaterra</t>
        </is>
      </c>
      <c r="B31" s="18" t="n"/>
      <c r="C31" s="18" t="n"/>
      <c r="D31" s="18" t="n"/>
      <c r="E31" s="18" t="n"/>
      <c r="F31" s="18" t="n"/>
      <c r="G31" s="18" t="n"/>
    </row>
    <row r="32">
      <c r="A32" s="3" t="inlineStr">
        <is>
          <t>Croacia</t>
        </is>
      </c>
      <c r="B32" s="18" t="n"/>
      <c r="C32" s="18" t="n"/>
      <c r="D32" s="18" t="n"/>
      <c r="E32" s="18" t="n"/>
      <c r="F32" s="18" t="n"/>
      <c r="G32" s="18" t="n"/>
    </row>
    <row r="33">
      <c r="A33" s="3" t="inlineStr">
        <is>
          <t>Ghana</t>
        </is>
      </c>
      <c r="B33" s="18" t="n"/>
      <c r="C33" s="18" t="n"/>
      <c r="D33" s="18" t="n"/>
      <c r="E33" s="18" t="n"/>
      <c r="F33" s="18" t="n"/>
      <c r="G33" s="18" t="n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topLeftCell="A19" zoomScale="169" workbookViewId="0">
      <selection activeCell="J40" sqref="J40"/>
    </sheetView>
  </sheetViews>
  <sheetFormatPr baseColWidth="10" defaultRowHeight="15"/>
  <cols>
    <col width="20.1640625" bestFit="1" customWidth="1" min="2" max="3"/>
  </cols>
  <sheetData>
    <row r="1">
      <c r="A1" s="30" t="inlineStr">
        <is>
          <t>PARTIDOS DE DIECISEISAVOS</t>
        </is>
      </c>
      <c r="B1" s="28" t="n"/>
      <c r="C1" s="28" t="n"/>
      <c r="D1" s="28" t="n"/>
      <c r="E1" s="28" t="n"/>
      <c r="F1" s="28" t="n"/>
      <c r="G1" s="29" t="n"/>
    </row>
    <row r="2">
      <c r="A2" s="34" t="inlineStr">
        <is>
          <t>Partido</t>
        </is>
      </c>
      <c r="B2" s="34" t="inlineStr">
        <is>
          <t>Local</t>
        </is>
      </c>
      <c r="C2" s="34" t="inlineStr">
        <is>
          <t>Visitante</t>
        </is>
      </c>
      <c r="D2" s="34" t="inlineStr">
        <is>
          <t>G_Local</t>
        </is>
      </c>
      <c r="E2" s="34" t="inlineStr">
        <is>
          <t>G_Visitante</t>
        </is>
      </c>
      <c r="F2" s="34" t="inlineStr">
        <is>
          <t>Resultado</t>
        </is>
      </c>
      <c r="G2" s="1" t="inlineStr">
        <is>
          <t>Diferencia</t>
        </is>
      </c>
    </row>
    <row r="3">
      <c r="A3" s="34" t="n">
        <v>1</v>
      </c>
      <c r="B3" s="21" t="inlineStr">
        <is>
          <t>Alemania</t>
        </is>
      </c>
      <c r="C3" s="22" t="inlineStr">
        <is>
          <t>Paraguay</t>
        </is>
      </c>
      <c r="D3" s="3" t="n">
        <v>1</v>
      </c>
      <c r="E3" s="3" t="n">
        <v>1</v>
      </c>
      <c r="F3" s="34" t="inlineStr">
        <is>
          <t>Visitante</t>
        </is>
      </c>
      <c r="G3" s="1">
        <f>D3-E3</f>
        <v/>
      </c>
    </row>
    <row r="4">
      <c r="A4" s="34" t="n">
        <v>2</v>
      </c>
      <c r="B4" s="21" t="inlineStr">
        <is>
          <t>Francia</t>
        </is>
      </c>
      <c r="C4" s="22" t="inlineStr">
        <is>
          <t>Suecia</t>
        </is>
      </c>
      <c r="D4" s="3" t="n">
        <v>3</v>
      </c>
      <c r="E4" s="3" t="n">
        <v>0</v>
      </c>
      <c r="F4" s="34">
        <f>IF(D4&gt;E4,"Local",IF(D4=E4,"Empate","Visitante"))</f>
        <v/>
      </c>
      <c r="G4" s="1">
        <f>D4-E4</f>
        <v/>
      </c>
    </row>
    <row r="5">
      <c r="A5" s="34" t="n">
        <v>3</v>
      </c>
      <c r="B5" s="19" t="inlineStr">
        <is>
          <t>Sudáfrica</t>
        </is>
      </c>
      <c r="C5" s="20" t="inlineStr">
        <is>
          <t>Canadá</t>
        </is>
      </c>
      <c r="D5" s="3" t="n">
        <v>0</v>
      </c>
      <c r="E5" s="3" t="n">
        <v>1</v>
      </c>
      <c r="F5" s="34">
        <f>IF(D5&gt;E5,"Local",IF(D5=E5,"Empate","Visitante"))</f>
        <v/>
      </c>
      <c r="G5" s="1">
        <f>D5-E5</f>
        <v/>
      </c>
    </row>
    <row r="6">
      <c r="A6" s="34" t="n">
        <v>4</v>
      </c>
      <c r="B6" s="21" t="inlineStr">
        <is>
          <t>Países Bajos</t>
        </is>
      </c>
      <c r="C6" s="22" t="inlineStr">
        <is>
          <t>Marruecos</t>
        </is>
      </c>
      <c r="D6" s="3" t="n">
        <v>1</v>
      </c>
      <c r="E6" s="3" t="n">
        <v>1</v>
      </c>
      <c r="F6" s="34" t="inlineStr">
        <is>
          <t>Visitante</t>
        </is>
      </c>
      <c r="G6" s="1">
        <f>D6-E6</f>
        <v/>
      </c>
    </row>
    <row r="7">
      <c r="A7" s="34" t="n">
        <v>5</v>
      </c>
      <c r="B7" s="21" t="inlineStr">
        <is>
          <t>Portugal</t>
        </is>
      </c>
      <c r="C7" s="22" t="inlineStr">
        <is>
          <t>Croacia</t>
        </is>
      </c>
      <c r="D7" s="3" t="n">
        <v>2</v>
      </c>
      <c r="E7" s="3" t="n">
        <v>1</v>
      </c>
      <c r="F7" s="34">
        <f>IF(D7&gt;E7,"Local",IF(D7=E7,"Empate","Visitante"))</f>
        <v/>
      </c>
      <c r="G7" s="1">
        <f>D7-E7</f>
        <v/>
      </c>
    </row>
    <row r="8">
      <c r="A8" s="34" t="n">
        <v>6</v>
      </c>
      <c r="B8" s="21" t="inlineStr">
        <is>
          <t>España</t>
        </is>
      </c>
      <c r="C8" s="22" t="inlineStr">
        <is>
          <t>Austria</t>
        </is>
      </c>
      <c r="D8" s="3" t="n">
        <v>3</v>
      </c>
      <c r="E8" s="3" t="n">
        <v>0</v>
      </c>
      <c r="F8" s="34">
        <f>IF(D8&gt;E8,"Local",IF(D8=E8,"Empate","Visitante"))</f>
        <v/>
      </c>
      <c r="G8" s="1">
        <f>D8-E8</f>
        <v/>
      </c>
    </row>
    <row r="9">
      <c r="A9" s="34" t="n">
        <v>7</v>
      </c>
      <c r="B9" s="21" t="inlineStr">
        <is>
          <t>Estados Unidos</t>
        </is>
      </c>
      <c r="C9" s="22" t="inlineStr">
        <is>
          <t>Bosnia y Herzegovina</t>
        </is>
      </c>
      <c r="D9" s="3" t="n">
        <v>2</v>
      </c>
      <c r="E9" s="3" t="n">
        <v>0</v>
      </c>
      <c r="F9" s="34">
        <f>IF(D9&gt;E9,"Local",IF(D9=E9,"Empate","Visitante"))</f>
        <v/>
      </c>
      <c r="G9" s="1">
        <f>D9-E9</f>
        <v/>
      </c>
    </row>
    <row r="10">
      <c r="A10" s="34" t="n">
        <v>8</v>
      </c>
      <c r="B10" s="21" t="inlineStr">
        <is>
          <t>Bélgica</t>
        </is>
      </c>
      <c r="C10" s="22" t="inlineStr">
        <is>
          <t>Senegal</t>
        </is>
      </c>
      <c r="D10" s="3" t="n">
        <v>3</v>
      </c>
      <c r="E10" s="3" t="n">
        <v>2</v>
      </c>
      <c r="F10" s="34">
        <f>IF(D10&gt;E10,"Local",IF(D10=E10,"Empate","Visitante"))</f>
        <v/>
      </c>
      <c r="G10" s="1">
        <f>D10-E10</f>
        <v/>
      </c>
    </row>
    <row r="11">
      <c r="A11" s="34" t="n">
        <v>9</v>
      </c>
      <c r="B11" s="21" t="inlineStr">
        <is>
          <t>Brasil</t>
        </is>
      </c>
      <c r="C11" s="22" t="inlineStr">
        <is>
          <t>Japón</t>
        </is>
      </c>
      <c r="D11" s="3" t="n">
        <v>2</v>
      </c>
      <c r="E11" s="3" t="n">
        <v>1</v>
      </c>
      <c r="F11" s="34">
        <f>IF(D11&gt;E11,"Local",IF(D11=E11,"Empate","Visitante"))</f>
        <v/>
      </c>
      <c r="G11" s="1">
        <f>D11-E11</f>
        <v/>
      </c>
    </row>
    <row r="12">
      <c r="A12" s="34" t="n">
        <v>10</v>
      </c>
      <c r="B12" s="21" t="inlineStr">
        <is>
          <t>Costa de Marfil</t>
        </is>
      </c>
      <c r="C12" s="22" t="inlineStr">
        <is>
          <t>Noruega</t>
        </is>
      </c>
      <c r="D12" s="3" t="n">
        <v>1</v>
      </c>
      <c r="E12" s="3" t="n">
        <v>2</v>
      </c>
      <c r="F12" s="34">
        <f>IF(D12&gt;E12,"Local",IF(D12=E12,"Empate","Visitante"))</f>
        <v/>
      </c>
      <c r="G12" s="1">
        <f>D12-E12</f>
        <v/>
      </c>
    </row>
    <row r="13">
      <c r="A13" s="34" t="n">
        <v>11</v>
      </c>
      <c r="B13" s="21" t="inlineStr">
        <is>
          <t>México</t>
        </is>
      </c>
      <c r="C13" s="22" t="inlineStr">
        <is>
          <t>Ecuador</t>
        </is>
      </c>
      <c r="D13" s="3" t="n">
        <v>2</v>
      </c>
      <c r="E13" s="3" t="n">
        <v>0</v>
      </c>
      <c r="F13" s="34">
        <f>IF(D13&gt;E13,"Local",IF(D13=E13,"Empate","Visitante"))</f>
        <v/>
      </c>
      <c r="G13" s="1">
        <f>D13-E13</f>
        <v/>
      </c>
    </row>
    <row r="14">
      <c r="A14" s="34" t="n">
        <v>12</v>
      </c>
      <c r="B14" s="21" t="inlineStr">
        <is>
          <t>Inglaterra</t>
        </is>
      </c>
      <c r="C14" s="22" t="inlineStr">
        <is>
          <t>RD Congo</t>
        </is>
      </c>
      <c r="D14" s="3" t="n">
        <v>2</v>
      </c>
      <c r="E14" s="3" t="n">
        <v>1</v>
      </c>
      <c r="F14" s="34">
        <f>IF(D14&gt;E14,"Local",IF(D14=E14,"Empate","Visitante"))</f>
        <v/>
      </c>
      <c r="G14" s="1">
        <f>D14-E14</f>
        <v/>
      </c>
    </row>
    <row r="15">
      <c r="A15" s="34" t="n">
        <v>13</v>
      </c>
      <c r="B15" s="21" t="inlineStr">
        <is>
          <t>Argentina</t>
        </is>
      </c>
      <c r="C15" s="22" t="inlineStr">
        <is>
          <t>Cabo Verde</t>
        </is>
      </c>
      <c r="D15" s="3" t="n">
        <v>3</v>
      </c>
      <c r="E15" s="3" t="n">
        <v>2</v>
      </c>
      <c r="F15" s="34">
        <f>IF(D15&gt;E15,"Local",IF(D15=E15,"Empate","Visitante"))</f>
        <v/>
      </c>
      <c r="G15" s="1">
        <f>D15-E15</f>
        <v/>
      </c>
    </row>
    <row r="16">
      <c r="A16" s="34" t="n">
        <v>14</v>
      </c>
      <c r="B16" s="21" t="inlineStr">
        <is>
          <t>Australia</t>
        </is>
      </c>
      <c r="C16" s="22" t="inlineStr">
        <is>
          <t>Egipto</t>
        </is>
      </c>
      <c r="D16" s="3" t="n">
        <v>1</v>
      </c>
      <c r="E16" s="3" t="n">
        <v>1</v>
      </c>
      <c r="F16" s="34" t="inlineStr">
        <is>
          <t>Visitante</t>
        </is>
      </c>
      <c r="G16" s="1">
        <f>D16-E16</f>
        <v/>
      </c>
    </row>
    <row r="17">
      <c r="A17" s="34" t="n">
        <v>15</v>
      </c>
      <c r="B17" s="21" t="inlineStr">
        <is>
          <t>Suiza</t>
        </is>
      </c>
      <c r="C17" s="22" t="inlineStr">
        <is>
          <t>Argelia</t>
        </is>
      </c>
      <c r="D17" s="3" t="n">
        <v>2</v>
      </c>
      <c r="E17" s="3" t="n">
        <v>0</v>
      </c>
      <c r="F17" s="34">
        <f>IF(D17&gt;E17,"Local",IF(D17=E17,"Empate","Visitante"))</f>
        <v/>
      </c>
      <c r="G17" s="1">
        <f>D17-E17</f>
        <v/>
      </c>
    </row>
    <row r="18">
      <c r="A18" s="34" t="n">
        <v>16</v>
      </c>
      <c r="B18" s="21" t="inlineStr">
        <is>
          <t>Colombia</t>
        </is>
      </c>
      <c r="C18" s="22" t="inlineStr">
        <is>
          <t>Ghana</t>
        </is>
      </c>
      <c r="D18" s="3" t="n">
        <v>1</v>
      </c>
      <c r="E18" s="3" t="n">
        <v>0</v>
      </c>
      <c r="F18" s="34">
        <f>IF(D18&gt;E18,"Local",IF(D18=E18,"Empate","Visitante"))</f>
        <v/>
      </c>
      <c r="G18" s="1">
        <f>D18-E18</f>
        <v/>
      </c>
    </row>
    <row r="20">
      <c r="A20" s="27" t="inlineStr">
        <is>
          <t>PARTIDOS DE OCTAVOS DE FINAL</t>
        </is>
      </c>
      <c r="B20" s="28" t="n"/>
      <c r="C20" s="28" t="n"/>
      <c r="D20" s="28" t="n"/>
      <c r="E20" s="28" t="n"/>
      <c r="F20" s="28" t="n"/>
      <c r="G20" s="29" t="n"/>
    </row>
    <row r="21">
      <c r="A21" s="21" t="inlineStr">
        <is>
          <t>Partido</t>
        </is>
      </c>
      <c r="B21" s="22" t="inlineStr">
        <is>
          <t>Local</t>
        </is>
      </c>
      <c r="C21" s="22" t="inlineStr">
        <is>
          <t>Visitante</t>
        </is>
      </c>
      <c r="D21" s="22" t="inlineStr">
        <is>
          <t>G_Local</t>
        </is>
      </c>
      <c r="E21" s="22" t="inlineStr">
        <is>
          <t>G_Visitante</t>
        </is>
      </c>
      <c r="F21" s="22" t="inlineStr">
        <is>
          <t>Resultado</t>
        </is>
      </c>
      <c r="G21" s="24" t="inlineStr">
        <is>
          <t>Diferencia</t>
        </is>
      </c>
    </row>
    <row r="22">
      <c r="A22" s="21" t="n">
        <v>1</v>
      </c>
      <c r="B22" s="22" t="inlineStr">
        <is>
          <t>Paraguay</t>
        </is>
      </c>
      <c r="C22" s="22" t="inlineStr">
        <is>
          <t>Francia</t>
        </is>
      </c>
      <c r="D22" s="25" t="n">
        <v>0</v>
      </c>
      <c r="E22" s="25" t="n">
        <v>1</v>
      </c>
      <c r="F22" s="22">
        <f>IF(D22&gt;E22,"Local",IF(D22=E22,"Empate","Visitante"))</f>
        <v/>
      </c>
      <c r="G22" s="24">
        <f>D22-E22</f>
        <v/>
      </c>
    </row>
    <row r="23">
      <c r="A23" s="21" t="n">
        <v>2</v>
      </c>
      <c r="B23" s="22" t="inlineStr">
        <is>
          <t>Canadá</t>
        </is>
      </c>
      <c r="C23" s="22" t="inlineStr">
        <is>
          <t>Marruecos</t>
        </is>
      </c>
      <c r="D23" s="25" t="n">
        <v>0</v>
      </c>
      <c r="E23" s="25" t="n">
        <v>3</v>
      </c>
      <c r="F23" s="22">
        <f>IF(D23&gt;E23,"Local",IF(D23=E23,"Empate","Visitante"))</f>
        <v/>
      </c>
      <c r="G23" s="24">
        <f>D23-E23</f>
        <v/>
      </c>
    </row>
    <row r="24">
      <c r="A24" s="21" t="n">
        <v>3</v>
      </c>
      <c r="B24" s="22" t="inlineStr">
        <is>
          <t>Portugal</t>
        </is>
      </c>
      <c r="C24" s="22" t="inlineStr">
        <is>
          <t>España</t>
        </is>
      </c>
      <c r="D24" s="25" t="n">
        <v>0</v>
      </c>
      <c r="E24" s="25" t="n">
        <v>1</v>
      </c>
      <c r="F24" s="22">
        <f>IF(D24&gt;E24,"Local",IF(D24=E24,"Empate","Visitante"))</f>
        <v/>
      </c>
      <c r="G24" s="24">
        <f>D24-E24</f>
        <v/>
      </c>
    </row>
    <row r="25">
      <c r="A25" s="21" t="n">
        <v>4</v>
      </c>
      <c r="B25" s="22" t="inlineStr">
        <is>
          <t>Estados Unidos</t>
        </is>
      </c>
      <c r="C25" s="22" t="inlineStr">
        <is>
          <t>Bélgica</t>
        </is>
      </c>
      <c r="D25" s="25" t="n">
        <v>1</v>
      </c>
      <c r="E25" s="25" t="n">
        <v>4</v>
      </c>
      <c r="F25" s="22">
        <f>IF(D25&gt;E25,"Local",IF(D25=E25,"Empate","Visitante"))</f>
        <v/>
      </c>
      <c r="G25" s="24">
        <f>D25-E25</f>
        <v/>
      </c>
    </row>
    <row r="26">
      <c r="A26" s="21" t="n">
        <v>5</v>
      </c>
      <c r="B26" s="22" t="inlineStr">
        <is>
          <t>Brasil</t>
        </is>
      </c>
      <c r="C26" s="22" t="inlineStr">
        <is>
          <t>Noruega</t>
        </is>
      </c>
      <c r="D26" s="25" t="n">
        <v>1</v>
      </c>
      <c r="E26" s="25" t="n">
        <v>2</v>
      </c>
      <c r="F26" s="22">
        <f>IF(D26&gt;E26,"Local",IF(D26=E26,"Empate","Visitante"))</f>
        <v/>
      </c>
      <c r="G26" s="24">
        <f>D26-E26</f>
        <v/>
      </c>
    </row>
    <row r="27">
      <c r="A27" s="21" t="n">
        <v>6</v>
      </c>
      <c r="B27" s="22" t="inlineStr">
        <is>
          <t>México</t>
        </is>
      </c>
      <c r="C27" s="22" t="inlineStr">
        <is>
          <t>Inglaterra</t>
        </is>
      </c>
      <c r="D27" s="25" t="n">
        <v>2</v>
      </c>
      <c r="E27" s="25" t="n">
        <v>3</v>
      </c>
      <c r="F27" s="22">
        <f>IF(D27&gt;E27,"Local",IF(D27=E27,"Empate","Visitante"))</f>
        <v/>
      </c>
      <c r="G27" s="24">
        <f>D27-E27</f>
        <v/>
      </c>
    </row>
    <row r="28">
      <c r="A28" s="21" t="n">
        <v>7</v>
      </c>
      <c r="B28" s="22" t="inlineStr">
        <is>
          <t>Argentina</t>
        </is>
      </c>
      <c r="C28" s="22" t="inlineStr">
        <is>
          <t>Egipto</t>
        </is>
      </c>
      <c r="D28" s="25" t="n">
        <v>3</v>
      </c>
      <c r="E28" s="25" t="n">
        <v>2</v>
      </c>
      <c r="F28" s="22" t="inlineStr">
        <is>
          <t>Local</t>
        </is>
      </c>
      <c r="G28" s="24">
        <f>D28-E28</f>
        <v/>
      </c>
    </row>
    <row r="29">
      <c r="A29" s="21" t="n">
        <v>8</v>
      </c>
      <c r="B29" s="22" t="inlineStr">
        <is>
          <t>Suiza</t>
        </is>
      </c>
      <c r="C29" s="22" t="inlineStr">
        <is>
          <t>Colombia</t>
        </is>
      </c>
      <c r="D29" s="25" t="n">
        <v>0</v>
      </c>
      <c r="E29" s="25" t="n">
        <v>0</v>
      </c>
      <c r="F29" s="22" t="inlineStr">
        <is>
          <t>Local</t>
        </is>
      </c>
      <c r="G29" s="24">
        <f>D29-E29</f>
        <v/>
      </c>
    </row>
    <row r="30">
      <c r="A30" s="26" t="n"/>
      <c r="B30" s="26" t="n"/>
      <c r="C30" s="26" t="n"/>
      <c r="D30" s="26" t="n"/>
      <c r="E30" s="26" t="n"/>
      <c r="F30" s="26" t="n"/>
      <c r="G30" s="26" t="n"/>
    </row>
    <row r="31">
      <c r="A31" s="27" t="inlineStr">
        <is>
          <t>PARTIDOS DE CUARTOS DE FINAL</t>
        </is>
      </c>
      <c r="B31" s="28" t="n"/>
      <c r="C31" s="28" t="n"/>
      <c r="D31" s="28" t="n"/>
      <c r="E31" s="28" t="n"/>
      <c r="F31" s="28" t="n"/>
      <c r="G31" s="29" t="n"/>
    </row>
    <row r="32">
      <c r="A32" s="21" t="inlineStr">
        <is>
          <t>Partido</t>
        </is>
      </c>
      <c r="B32" s="22" t="inlineStr">
        <is>
          <t>Local</t>
        </is>
      </c>
      <c r="C32" s="22" t="inlineStr">
        <is>
          <t>Visitante</t>
        </is>
      </c>
      <c r="D32" s="22" t="inlineStr">
        <is>
          <t>G_Local</t>
        </is>
      </c>
      <c r="E32" s="22" t="inlineStr">
        <is>
          <t>G_Visitante</t>
        </is>
      </c>
      <c r="F32" s="22" t="inlineStr">
        <is>
          <t>Resultado</t>
        </is>
      </c>
      <c r="G32" s="24" t="inlineStr">
        <is>
          <t>Diferencia</t>
        </is>
      </c>
    </row>
    <row r="33">
      <c r="A33" s="21" t="n">
        <v>1</v>
      </c>
      <c r="B33" s="22" t="inlineStr">
        <is>
          <t>Francia</t>
        </is>
      </c>
      <c r="C33" s="22" t="inlineStr">
        <is>
          <t>Marruecos</t>
        </is>
      </c>
      <c r="D33" s="25" t="n">
        <v>2</v>
      </c>
      <c r="E33" s="25" t="n">
        <v>0</v>
      </c>
      <c r="F33" s="22">
        <f>IF(D33&gt;E33,"Local",IF(D33=E33,"Empate","Visitante"))</f>
        <v/>
      </c>
      <c r="G33" s="24">
        <f>D33-E33</f>
        <v/>
      </c>
    </row>
    <row r="34">
      <c r="A34" s="21" t="n">
        <v>2</v>
      </c>
      <c r="B34" s="22" t="inlineStr">
        <is>
          <t>España</t>
        </is>
      </c>
      <c r="C34" s="22" t="inlineStr">
        <is>
          <t>Bélgica</t>
        </is>
      </c>
      <c r="D34" s="25" t="n">
        <v>2</v>
      </c>
      <c r="E34" s="25" t="n">
        <v>1</v>
      </c>
      <c r="F34" s="22">
        <f>IF(D34&gt;E34,"Local",IF(D34=E34,"Empate","Visitante"))</f>
        <v/>
      </c>
      <c r="G34" s="24">
        <f>D34-E34</f>
        <v/>
      </c>
    </row>
    <row r="35">
      <c r="A35" s="21" t="n">
        <v>3</v>
      </c>
      <c r="B35" s="22" t="inlineStr">
        <is>
          <t>Noruega</t>
        </is>
      </c>
      <c r="C35" s="22" t="inlineStr">
        <is>
          <t>Inglaterra</t>
        </is>
      </c>
      <c r="D35" s="25" t="n">
        <v>1</v>
      </c>
      <c r="E35" s="25" t="n">
        <v>2</v>
      </c>
      <c r="F35" s="22">
        <f>IF(D35&gt;E35,"Local",IF(D35=E35,"Empate","Visitante"))</f>
        <v/>
      </c>
      <c r="G35" s="24">
        <f>D35-E35</f>
        <v/>
      </c>
    </row>
    <row r="36">
      <c r="A36" s="21" t="n">
        <v>4</v>
      </c>
      <c r="B36" s="22" t="inlineStr">
        <is>
          <t>Argentina</t>
        </is>
      </c>
      <c r="C36" s="22" t="inlineStr">
        <is>
          <t>Suiza</t>
        </is>
      </c>
      <c r="D36" s="25" t="n">
        <v>3</v>
      </c>
      <c r="E36" s="25" t="n">
        <v>1</v>
      </c>
      <c r="F36" s="22">
        <f>IF(D36&gt;E36,"Local",IF(D36=E36,"Empate","Visitante"))</f>
        <v/>
      </c>
      <c r="G36" s="24">
        <f>D36-E36</f>
        <v/>
      </c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27" t="inlineStr">
        <is>
          <t>PARTIDOS DE SEMIFINAL</t>
        </is>
      </c>
      <c r="B38" s="28" t="n"/>
      <c r="C38" s="28" t="n"/>
      <c r="D38" s="28" t="n"/>
      <c r="E38" s="28" t="n"/>
      <c r="F38" s="28" t="n"/>
      <c r="G38" s="29" t="n"/>
    </row>
    <row r="39">
      <c r="A39" s="21" t="inlineStr">
        <is>
          <t>Partido</t>
        </is>
      </c>
      <c r="B39" s="22" t="inlineStr">
        <is>
          <t>Local</t>
        </is>
      </c>
      <c r="C39" s="22" t="inlineStr">
        <is>
          <t>Visitante</t>
        </is>
      </c>
      <c r="D39" s="22" t="inlineStr">
        <is>
          <t>G_Local</t>
        </is>
      </c>
      <c r="E39" s="22" t="inlineStr">
        <is>
          <t>G_Visitante</t>
        </is>
      </c>
      <c r="F39" s="22" t="inlineStr">
        <is>
          <t>Resultado</t>
        </is>
      </c>
      <c r="G39" s="24" t="inlineStr">
        <is>
          <t>Diferencia</t>
        </is>
      </c>
    </row>
    <row r="40">
      <c r="A40" s="21" t="n">
        <v>1</v>
      </c>
      <c r="B40" s="22">
        <f t="array" ref="B40">IF(OR(INDEX($F$33:$F$36,(ROW()-40)*2+1)="Empate",INDEX($F$33:$F$36,(ROW()-40)*2+1)=""),"",IF(INDEX($F$33:$F$36,(ROW()-40)*2+1)="Local",INDEX($B$33:$B$36,(ROW()-40)*2+1),INDEX($C$33:$C$36,(ROW()-40)*2+1)))</f>
        <v/>
      </c>
      <c r="C40" s="22">
        <f t="array" ref="C40">IF(OR(INDEX($F$33:$F$36,(ROW()-40)*2+2)="Empate",INDEX($F$33:$F$36,(ROW()-40)*2+2)=""),"",IF(INDEX($F$33:$F$36,(ROW()-40)*2+2)="Local",INDEX($B$33:$B$36,(ROW()-40)*2+2),INDEX($C$33:$C$36,(ROW()-40)*2+2)))</f>
        <v/>
      </c>
      <c r="D40" s="25" t="n">
        <v>0</v>
      </c>
      <c r="E40" s="25" t="n">
        <v>2</v>
      </c>
      <c r="F40" s="22">
        <f>IF(D40&gt;E40,"Local",IF(D40=E40,"Empate","Visitante"))</f>
        <v/>
      </c>
      <c r="G40" s="24">
        <f>D40-E40</f>
        <v/>
      </c>
    </row>
    <row r="41">
      <c r="A41" s="21" t="n">
        <v>2</v>
      </c>
      <c r="B41" s="22">
        <f t="array" ref="B41">IF(OR(INDEX($F$33:$F$36,(ROW()-40)*2+1)="Empate",INDEX($F$33:$F$36,(ROW()-40)*2+1)=""),"",IF(INDEX($F$33:$F$36,(ROW()-40)*2+1)="Local",INDEX($B$33:$B$36,(ROW()-40)*2+1),INDEX($C$33:$C$36,(ROW()-40)*2+1)))</f>
        <v/>
      </c>
      <c r="C41" s="22">
        <f t="array" ref="C41">IF(OR(INDEX($F$33:$F$36,(ROW()-40)*2+2)="Empate",INDEX($F$33:$F$36,(ROW()-40)*2+2)=""),"",IF(INDEX($F$33:$F$36,(ROW()-40)*2+2)="Local",INDEX($B$33:$B$36,(ROW()-40)*2+2),INDEX($C$33:$C$36,(ROW()-40)*2+2)))</f>
        <v/>
      </c>
      <c r="D41" s="25" t="n">
        <v>1</v>
      </c>
      <c r="E41" s="25" t="n">
        <v>2</v>
      </c>
      <c r="F41" s="22">
        <f>IF(D41&gt;E41,"Local",IF(D41=E41,"Empate","Visitante"))</f>
        <v/>
      </c>
      <c r="G41" s="24">
        <f>D41-E41</f>
        <v/>
      </c>
    </row>
    <row r="42">
      <c r="A42" s="26" t="n"/>
      <c r="B42" s="26" t="n"/>
      <c r="C42" s="26" t="n"/>
      <c r="D42" s="26" t="n"/>
      <c r="E42" s="26" t="n"/>
      <c r="F42" s="26" t="n"/>
      <c r="G42" s="26" t="n"/>
    </row>
    <row r="43">
      <c r="A43" s="27" t="inlineStr">
        <is>
          <t>PARTIDOS DE TERCEROS</t>
        </is>
      </c>
      <c r="B43" s="28" t="n"/>
      <c r="C43" s="28" t="n"/>
      <c r="D43" s="28" t="n"/>
      <c r="E43" s="28" t="n"/>
      <c r="F43" s="28" t="n"/>
      <c r="G43" s="29" t="n"/>
    </row>
    <row r="44">
      <c r="A44" s="21" t="inlineStr">
        <is>
          <t>Partido</t>
        </is>
      </c>
      <c r="B44" s="22" t="inlineStr">
        <is>
          <t>Local</t>
        </is>
      </c>
      <c r="C44" s="22" t="inlineStr">
        <is>
          <t>Visitante</t>
        </is>
      </c>
      <c r="D44" s="22" t="inlineStr">
        <is>
          <t>G_Local</t>
        </is>
      </c>
      <c r="E44" s="22" t="inlineStr">
        <is>
          <t>G_Visitante</t>
        </is>
      </c>
      <c r="F44" s="22" t="inlineStr">
        <is>
          <t>Resultado</t>
        </is>
      </c>
      <c r="G44" s="24" t="inlineStr">
        <is>
          <t>Diferencia</t>
        </is>
      </c>
    </row>
    <row r="45">
      <c r="A45" s="21" t="n">
        <v>1</v>
      </c>
      <c r="B45" s="22" t="inlineStr">
        <is>
          <t>Francia</t>
        </is>
      </c>
      <c r="C45" s="22" t="inlineStr">
        <is>
          <t>Inglaterra</t>
        </is>
      </c>
      <c r="D45" s="25" t="n">
        <v>4</v>
      </c>
      <c r="E45" s="25" t="n">
        <v>6</v>
      </c>
      <c r="F45" s="22">
        <f>IF(D45&gt;E45,"Local",IF(D45=E45,"Empate","Visitante"))</f>
        <v/>
      </c>
      <c r="G45" s="24">
        <f>D45-E45</f>
        <v/>
      </c>
    </row>
    <row r="46">
      <c r="A46" s="26" t="n"/>
      <c r="B46" s="26" t="n"/>
      <c r="C46" s="26" t="n"/>
      <c r="D46" s="26" t="n"/>
      <c r="E46" s="26" t="n"/>
      <c r="F46" s="26" t="n"/>
      <c r="G46" s="26" t="n"/>
    </row>
    <row r="47">
      <c r="A47" s="27" t="inlineStr">
        <is>
          <t>PARTIDOS DE FINAL</t>
        </is>
      </c>
      <c r="B47" s="28" t="n"/>
      <c r="C47" s="28" t="n"/>
      <c r="D47" s="28" t="n"/>
      <c r="E47" s="28" t="n"/>
      <c r="F47" s="28" t="n"/>
      <c r="G47" s="29" t="n"/>
    </row>
    <row r="48">
      <c r="A48" s="21" t="inlineStr">
        <is>
          <t>Partido</t>
        </is>
      </c>
      <c r="B48" s="22" t="inlineStr">
        <is>
          <t>Local</t>
        </is>
      </c>
      <c r="C48" s="22" t="inlineStr">
        <is>
          <t>Visitante</t>
        </is>
      </c>
      <c r="D48" s="22" t="inlineStr">
        <is>
          <t>G_Local</t>
        </is>
      </c>
      <c r="E48" s="22" t="inlineStr">
        <is>
          <t>G_Visitante</t>
        </is>
      </c>
      <c r="F48" s="22" t="inlineStr">
        <is>
          <t>Resultado</t>
        </is>
      </c>
      <c r="G48" s="24" t="inlineStr">
        <is>
          <t>Diferencia</t>
        </is>
      </c>
    </row>
    <row r="49">
      <c r="A49" s="21" t="n">
        <v>1</v>
      </c>
      <c r="B49" s="22" t="inlineStr">
        <is>
          <t>España</t>
        </is>
      </c>
      <c r="C49" s="22" t="inlineStr">
        <is>
          <t>Argentina</t>
        </is>
      </c>
      <c r="D49" s="25" t="n">
        <v>1</v>
      </c>
      <c r="E49" s="25" t="n">
        <v>0</v>
      </c>
      <c r="F49" s="22">
        <f>IF(D49&gt;E49,"Local",IF(D49=E49,"Empate","Visitante"))</f>
        <v/>
      </c>
      <c r="G49" s="24">
        <f>D49-E49</f>
        <v/>
      </c>
    </row>
  </sheetData>
  <mergeCells count="6">
    <mergeCell ref="A1:G1"/>
    <mergeCell ref="A31:G31"/>
    <mergeCell ref="A20:G20"/>
    <mergeCell ref="A38:G38"/>
    <mergeCell ref="A43:G43"/>
    <mergeCell ref="A47:G47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selection activeCell="R103" sqref="R103"/>
    </sheetView>
  </sheetViews>
  <sheetFormatPr baseColWidth="10" defaultColWidth="11.5" defaultRowHeight="15"/>
  <cols>
    <col width="12.1640625" bestFit="1" customWidth="1" style="1" min="1" max="1"/>
    <col width="20.1640625" bestFit="1" customWidth="1" style="1" min="2" max="2"/>
    <col width="11.5" customWidth="1" style="1" min="3" max="6"/>
    <col width="15.5" bestFit="1" customWidth="1" style="1" min="7" max="7"/>
    <col width="11.5" customWidth="1" style="1" min="8" max="11"/>
    <col width="20.1640625" bestFit="1" customWidth="1" style="1" min="12" max="12"/>
    <col width="11.5" customWidth="1" style="1" min="13" max="19"/>
    <col width="12.5" bestFit="1" customWidth="1" style="1" min="20" max="20"/>
    <col width="13.6640625" bestFit="1" customWidth="1" style="1" min="21" max="21"/>
    <col width="14" bestFit="1" customWidth="1" style="1" min="22" max="22"/>
    <col width="11.5" customWidth="1" style="1" min="23" max="46"/>
    <col width="11.5" customWidth="1" style="1" min="47" max="16384"/>
  </cols>
  <sheetData>
    <row r="1">
      <c r="A1" s="34" t="inlineStr">
        <is>
          <t>Partido</t>
        </is>
      </c>
      <c r="B1" s="34" t="inlineStr">
        <is>
          <t>G_Local</t>
        </is>
      </c>
      <c r="C1" s="34" t="inlineStr">
        <is>
          <t>G_visitante</t>
        </is>
      </c>
      <c r="D1" s="34" t="inlineStr">
        <is>
          <t>Resultado</t>
        </is>
      </c>
      <c r="E1" s="34" t="inlineStr">
        <is>
          <t>Diferencia</t>
        </is>
      </c>
      <c r="F1" s="34" t="inlineStr">
        <is>
          <t>Hugo</t>
        </is>
      </c>
      <c r="G1" s="34" t="inlineStr">
        <is>
          <t>G_Local</t>
        </is>
      </c>
      <c r="H1" s="34" t="inlineStr">
        <is>
          <t>G_visitante</t>
        </is>
      </c>
      <c r="I1" s="34" t="inlineStr">
        <is>
          <t>Resultado</t>
        </is>
      </c>
      <c r="J1" s="34" t="inlineStr">
        <is>
          <t>Diferencia</t>
        </is>
      </c>
      <c r="K1" s="34" t="inlineStr">
        <is>
          <t>Oscar</t>
        </is>
      </c>
      <c r="L1" s="34" t="inlineStr">
        <is>
          <t>G_Local</t>
        </is>
      </c>
      <c r="M1" s="34" t="inlineStr">
        <is>
          <t>G_visitante</t>
        </is>
      </c>
      <c r="N1" s="34" t="inlineStr">
        <is>
          <t>Resultado</t>
        </is>
      </c>
      <c r="O1" s="34" t="inlineStr">
        <is>
          <t>Diferencia</t>
        </is>
      </c>
      <c r="P1" s="34" t="inlineStr">
        <is>
          <t>Camilo</t>
        </is>
      </c>
      <c r="T1" s="13" t="inlineStr">
        <is>
          <t>Puntos Hugo</t>
        </is>
      </c>
      <c r="U1" s="13" t="inlineStr">
        <is>
          <t>Puntos Oscar</t>
        </is>
      </c>
      <c r="V1" s="13" t="inlineStr">
        <is>
          <t>Puntos Camilo</t>
        </is>
      </c>
    </row>
    <row r="2">
      <c r="A2" s="34" t="n">
        <v>1</v>
      </c>
      <c r="B2" s="14">
        <f>IF(Predicciones_Hugo!$E2=Realidad!$E2,1,0)</f>
        <v/>
      </c>
      <c r="C2" s="14">
        <f>IF(Predicciones_Hugo!$F2=Realidad!$F2,1,0)</f>
        <v/>
      </c>
      <c r="D2" s="14">
        <f>IF(Predicciones_Hugo!$G2=Realidad!$G2,1,0)</f>
        <v/>
      </c>
      <c r="E2" s="14">
        <f>IF(Predicciones_Hugo!$H2=Realidad!$H2,1,0)</f>
        <v/>
      </c>
      <c r="F2" s="15">
        <f>B2+C2+D2+E2</f>
        <v/>
      </c>
      <c r="G2" s="14">
        <f>IF(Predicciones_Oscar!$E2=Realidad!$E2,1,0)</f>
        <v/>
      </c>
      <c r="H2" s="14">
        <f>IF(Predicciones_Oscar!$F2=Realidad!$F2,1,0)</f>
        <v/>
      </c>
      <c r="I2" s="14">
        <f>IF(Predicciones_Oscar!$G2=Realidad!$G2,1,0)</f>
        <v/>
      </c>
      <c r="J2" s="14">
        <f>IF(Predicciones_Oscar!$H2=Realidad!$H2,1,0)</f>
        <v/>
      </c>
      <c r="K2" s="15">
        <f>G2+H2+I2+J2</f>
        <v/>
      </c>
      <c r="L2" s="14">
        <f>IF(Predicciones_Camilo!$E2=Realidad!$E2,1,0)</f>
        <v/>
      </c>
      <c r="M2" s="14">
        <f>IF(Predicciones_Camilo!$F2=Realidad!$F2,1,0)</f>
        <v/>
      </c>
      <c r="N2" s="14">
        <f>IF(Predicciones_Camilo!$G2=Realidad!$G2,1,0)</f>
        <v/>
      </c>
      <c r="O2" s="14">
        <f>IF(Predicciones_Camilo!$H2=Realidad!$H2,1,0)</f>
        <v/>
      </c>
      <c r="P2" s="15">
        <f>L2+M2+N2+O2</f>
        <v/>
      </c>
      <c r="T2" s="16">
        <f>SUM(F2:F7)</f>
        <v/>
      </c>
      <c r="U2" s="16">
        <f>SUM(K2:K7)</f>
        <v/>
      </c>
      <c r="V2" s="16">
        <f>SUM(P2:P7)</f>
        <v/>
      </c>
    </row>
    <row r="3">
      <c r="A3" s="34" t="n">
        <v>2</v>
      </c>
      <c r="B3" s="14">
        <f>IF(Predicciones_Hugo!$E3=Realidad!$E3,1,0)</f>
        <v/>
      </c>
      <c r="C3" s="14">
        <f>IF(Predicciones_Hugo!$F3=Realidad!$F3,1,0)</f>
        <v/>
      </c>
      <c r="D3" s="14">
        <f>IF(Predicciones_Hugo!$G3=Realidad!$G3,1,0)</f>
        <v/>
      </c>
      <c r="E3" s="14">
        <f>IF(Predicciones_Hugo!$H3=Realidad!$H3,1,0)</f>
        <v/>
      </c>
      <c r="F3" s="15">
        <f>B3+C3+D3+E3</f>
        <v/>
      </c>
      <c r="G3" s="14">
        <f>IF(Predicciones_Oscar!$E3=Realidad!$E3,1,0)</f>
        <v/>
      </c>
      <c r="H3" s="14">
        <f>IF(Predicciones_Oscar!$F3=Realidad!$F3,1,0)</f>
        <v/>
      </c>
      <c r="I3" s="14">
        <f>IF(Predicciones_Oscar!$G3=Realidad!$G3,1,0)</f>
        <v/>
      </c>
      <c r="J3" s="14">
        <f>IF(Predicciones_Oscar!$H3=Realidad!$H3,1,0)</f>
        <v/>
      </c>
      <c r="K3" s="15">
        <f>G3+H3+I3+J3</f>
        <v/>
      </c>
      <c r="L3" s="14">
        <f>IF(Predicciones_Camilo!$E3=Realidad!$E3,1,0)</f>
        <v/>
      </c>
      <c r="M3" s="14">
        <f>IF(Predicciones_Camilo!$F3=Realidad!$F3,1,0)</f>
        <v/>
      </c>
      <c r="N3" s="14">
        <f>IF(Predicciones_Camilo!$G3=Realidad!$G3,1,0)</f>
        <v/>
      </c>
      <c r="O3" s="14">
        <f>IF(Predicciones_Camilo!$H3=Realidad!$H3,1,0)</f>
        <v/>
      </c>
      <c r="P3" s="15">
        <f>L3+M3+N3+O3</f>
        <v/>
      </c>
    </row>
    <row r="4">
      <c r="A4" s="34" t="n">
        <v>3</v>
      </c>
      <c r="B4" s="14">
        <f>IF(Predicciones_Hugo!$E4=Realidad!$E4,1,0)</f>
        <v/>
      </c>
      <c r="C4" s="14">
        <f>IF(Predicciones_Hugo!$F4=Realidad!$F4,1,0)</f>
        <v/>
      </c>
      <c r="D4" s="14">
        <f>IF(Predicciones_Hugo!$G4=Realidad!$G4,1,0)</f>
        <v/>
      </c>
      <c r="E4" s="14">
        <f>IF(Predicciones_Hugo!$H4=Realidad!$H4,1,0)</f>
        <v/>
      </c>
      <c r="F4" s="15">
        <f>B4+C4+D4+E4</f>
        <v/>
      </c>
      <c r="G4" s="14">
        <f>IF(Predicciones_Oscar!$E4=Realidad!$E4,1,0)</f>
        <v/>
      </c>
      <c r="H4" s="14">
        <f>IF(Predicciones_Oscar!$F4=Realidad!$F4,1,0)</f>
        <v/>
      </c>
      <c r="I4" s="14">
        <f>IF(Predicciones_Oscar!$G4=Realidad!$G4,1,0)</f>
        <v/>
      </c>
      <c r="J4" s="14">
        <f>IF(Predicciones_Oscar!$H4=Realidad!$H4,1,0)</f>
        <v/>
      </c>
      <c r="K4" s="15">
        <f>G4+H4+I4+J4</f>
        <v/>
      </c>
      <c r="L4" s="14">
        <f>IF(Predicciones_Camilo!$E4=Realidad!$E4,1,0)</f>
        <v/>
      </c>
      <c r="M4" s="14">
        <f>IF(Predicciones_Camilo!$F4=Realidad!$F4,1,0)</f>
        <v/>
      </c>
      <c r="N4" s="14">
        <f>IF(Predicciones_Camilo!$G4=Realidad!$G4,1,0)</f>
        <v/>
      </c>
      <c r="O4" s="14">
        <f>IF(Predicciones_Camilo!$H4=Realidad!$H4,1,0)</f>
        <v/>
      </c>
      <c r="P4" s="15">
        <f>L4+M4+N4+O4</f>
        <v/>
      </c>
    </row>
    <row r="5">
      <c r="A5" s="34" t="n">
        <v>4</v>
      </c>
      <c r="B5" s="14">
        <f>IF(Predicciones_Hugo!$E5=Realidad!$E5,1,0)</f>
        <v/>
      </c>
      <c r="C5" s="14">
        <f>IF(Predicciones_Hugo!$F5=Realidad!$F5,1,0)</f>
        <v/>
      </c>
      <c r="D5" s="14">
        <f>IF(Predicciones_Hugo!$G5=Realidad!$G5,1,0)</f>
        <v/>
      </c>
      <c r="E5" s="14">
        <f>IF(Predicciones_Hugo!$H5=Realidad!$H5,1,0)</f>
        <v/>
      </c>
      <c r="F5" s="15">
        <f>B5+C5+D5+E5</f>
        <v/>
      </c>
      <c r="G5" s="14">
        <f>IF(Predicciones_Oscar!$E5=Realidad!$E5,1,0)</f>
        <v/>
      </c>
      <c r="H5" s="14">
        <f>IF(Predicciones_Oscar!$F5=Realidad!$F5,1,0)</f>
        <v/>
      </c>
      <c r="I5" s="14">
        <f>IF(Predicciones_Oscar!$G5=Realidad!$G5,1,0)</f>
        <v/>
      </c>
      <c r="J5" s="14">
        <f>IF(Predicciones_Oscar!$H5=Realidad!$H5,1,0)</f>
        <v/>
      </c>
      <c r="K5" s="15">
        <f>G5+H5+I5+J5</f>
        <v/>
      </c>
      <c r="L5" s="14">
        <f>IF(Predicciones_Camilo!$E5=Realidad!$E5,1,0)</f>
        <v/>
      </c>
      <c r="M5" s="14">
        <f>IF(Predicciones_Camilo!$F5=Realidad!$F5,1,0)</f>
        <v/>
      </c>
      <c r="N5" s="14">
        <f>IF(Predicciones_Camilo!$G5=Realidad!$G5,1,0)</f>
        <v/>
      </c>
      <c r="O5" s="14">
        <f>IF(Predicciones_Camilo!$H5=Realidad!$H5,1,0)</f>
        <v/>
      </c>
      <c r="P5" s="15">
        <f>L5+M5+N5+O5</f>
        <v/>
      </c>
    </row>
    <row r="6">
      <c r="A6" s="34" t="n">
        <v>5</v>
      </c>
      <c r="B6" s="14">
        <f>IF(Predicciones_Hugo!$E6=Realidad!$E6,1,0)</f>
        <v/>
      </c>
      <c r="C6" s="14">
        <f>IF(Predicciones_Hugo!$F6=Realidad!$F6,1,0)</f>
        <v/>
      </c>
      <c r="D6" s="14">
        <f>IF(Predicciones_Hugo!$G6=Realidad!$G6,1,0)</f>
        <v/>
      </c>
      <c r="E6" s="14">
        <f>IF(Predicciones_Hugo!$H6=Realidad!$H6,1,0)</f>
        <v/>
      </c>
      <c r="F6" s="15">
        <f>B6+C6+D6+E6</f>
        <v/>
      </c>
      <c r="G6" s="14">
        <f>IF(Predicciones_Oscar!$E6=Realidad!$E6,1,0)</f>
        <v/>
      </c>
      <c r="H6" s="14">
        <f>IF(Predicciones_Oscar!$F6=Realidad!$F6,1,0)</f>
        <v/>
      </c>
      <c r="I6" s="14">
        <f>IF(Predicciones_Oscar!$G6=Realidad!$G6,1,0)</f>
        <v/>
      </c>
      <c r="J6" s="14">
        <f>IF(Predicciones_Oscar!$H6=Realidad!$H6,1,0)</f>
        <v/>
      </c>
      <c r="K6" s="15">
        <f>G6+H6+I6+J6</f>
        <v/>
      </c>
      <c r="L6" s="14">
        <f>IF(Predicciones_Camilo!$E6=Realidad!$E6,1,0)</f>
        <v/>
      </c>
      <c r="M6" s="14">
        <f>IF(Predicciones_Camilo!$F6=Realidad!$F6,1,0)</f>
        <v/>
      </c>
      <c r="N6" s="14">
        <f>IF(Predicciones_Camilo!$G6=Realidad!$G6,1,0)</f>
        <v/>
      </c>
      <c r="O6" s="14">
        <f>IF(Predicciones_Camilo!$H6=Realidad!$H6,1,0)</f>
        <v/>
      </c>
      <c r="P6" s="15">
        <f>L6+M6+N6+O6</f>
        <v/>
      </c>
    </row>
    <row r="7">
      <c r="A7" s="34" t="n">
        <v>6</v>
      </c>
      <c r="B7" s="14">
        <f>IF(Predicciones_Hugo!$E7=Realidad!$E7,1,0)</f>
        <v/>
      </c>
      <c r="C7" s="14">
        <f>IF(Predicciones_Hugo!$F7=Realidad!$F7,1,0)</f>
        <v/>
      </c>
      <c r="D7" s="14">
        <f>IF(Predicciones_Hugo!$G7=Realidad!$G7,1,0)</f>
        <v/>
      </c>
      <c r="E7" s="14">
        <f>IF(Predicciones_Hugo!$H7=Realidad!$H7,1,0)</f>
        <v/>
      </c>
      <c r="F7" s="15">
        <f>B7+C7+D7+E7</f>
        <v/>
      </c>
      <c r="G7" s="14">
        <f>IF(Predicciones_Oscar!$E7=Realidad!$E7,1,0)</f>
        <v/>
      </c>
      <c r="H7" s="14">
        <f>IF(Predicciones_Oscar!$F7=Realidad!$F7,1,0)</f>
        <v/>
      </c>
      <c r="I7" s="14">
        <f>IF(Predicciones_Oscar!$G7=Realidad!$G7,1,0)</f>
        <v/>
      </c>
      <c r="J7" s="14">
        <f>IF(Predicciones_Oscar!$H7=Realidad!$H7,1,0)</f>
        <v/>
      </c>
      <c r="K7" s="15">
        <f>G7+H7+I7+J7</f>
        <v/>
      </c>
      <c r="L7" s="14">
        <f>IF(Predicciones_Camilo!$E7=Realidad!$E7,1,0)</f>
        <v/>
      </c>
      <c r="M7" s="14">
        <f>IF(Predicciones_Camilo!$F7=Realidad!$F7,1,0)</f>
        <v/>
      </c>
      <c r="N7" s="14">
        <f>IF(Predicciones_Camilo!$G7=Realidad!$G7,1,0)</f>
        <v/>
      </c>
      <c r="O7" s="14">
        <f>IF(Predicciones_Camilo!$H7=Realidad!$H7,1,0)</f>
        <v/>
      </c>
      <c r="P7" s="15">
        <f>L7+M7+N7+O7</f>
        <v/>
      </c>
    </row>
    <row r="8">
      <c r="A8" s="34" t="n">
        <v>7</v>
      </c>
      <c r="B8" s="14">
        <f>IF(Predicciones_Hugo!$E8=Realidad!$E8,1,0)</f>
        <v/>
      </c>
      <c r="C8" s="14">
        <f>IF(Predicciones_Hugo!$F8=Realidad!$F8,1,0)</f>
        <v/>
      </c>
      <c r="D8" s="14">
        <f>IF(Predicciones_Hugo!$G8=Realidad!$G8,1,0)</f>
        <v/>
      </c>
      <c r="E8" s="14">
        <f>IF(Predicciones_Hugo!$H8=Realidad!$H8,1,0)</f>
        <v/>
      </c>
      <c r="F8" s="15">
        <f>B8+C8+D8+E8</f>
        <v/>
      </c>
      <c r="G8" s="14">
        <f>IF(Predicciones_Oscar!$E8=Realidad!$E8,1,0)</f>
        <v/>
      </c>
      <c r="H8" s="14">
        <f>IF(Predicciones_Oscar!$F8=Realidad!$F8,1,0)</f>
        <v/>
      </c>
      <c r="I8" s="14">
        <f>IF(Predicciones_Oscar!$G8=Realidad!$G8,1,0)</f>
        <v/>
      </c>
      <c r="J8" s="14">
        <f>IF(Predicciones_Oscar!$H8=Realidad!$H8,1,0)</f>
        <v/>
      </c>
      <c r="K8" s="15">
        <f>G8+H8+I8+J8</f>
        <v/>
      </c>
      <c r="L8" s="14">
        <f>IF(Predicciones_Camilo!$E8=Realidad!$E8,1,0)</f>
        <v/>
      </c>
      <c r="M8" s="14">
        <f>IF(Predicciones_Camilo!$F8=Realidad!$F8,1,0)</f>
        <v/>
      </c>
      <c r="N8" s="14">
        <f>IF(Predicciones_Camilo!$G8=Realidad!$G8,1,0)</f>
        <v/>
      </c>
      <c r="O8" s="14">
        <f>IF(Predicciones_Camilo!$H8=Realidad!$H8,1,0)</f>
        <v/>
      </c>
      <c r="P8" s="15">
        <f>L8+M8+N8+O8</f>
        <v/>
      </c>
    </row>
    <row r="9">
      <c r="A9" s="34" t="n">
        <v>8</v>
      </c>
      <c r="B9" s="14">
        <f>IF(Predicciones_Hugo!$E9=Realidad!$E9,1,0)</f>
        <v/>
      </c>
      <c r="C9" s="14">
        <f>IF(Predicciones_Hugo!$F9=Realidad!$F9,1,0)</f>
        <v/>
      </c>
      <c r="D9" s="14">
        <f>IF(Predicciones_Hugo!$G9=Realidad!$G9,1,0)</f>
        <v/>
      </c>
      <c r="E9" s="14">
        <f>IF(Predicciones_Hugo!$H9=Realidad!$H9,1,0)</f>
        <v/>
      </c>
      <c r="F9" s="15">
        <f>B9+C9+D9+E9</f>
        <v/>
      </c>
      <c r="G9" s="14">
        <f>IF(Predicciones_Oscar!$E9=Realidad!$E9,1,0)</f>
        <v/>
      </c>
      <c r="H9" s="14">
        <f>IF(Predicciones_Oscar!$F9=Realidad!$F9,1,0)</f>
        <v/>
      </c>
      <c r="I9" s="14">
        <f>IF(Predicciones_Oscar!$G9=Realidad!$G9,1,0)</f>
        <v/>
      </c>
      <c r="J9" s="14">
        <f>IF(Predicciones_Oscar!$H9=Realidad!$H9,1,0)</f>
        <v/>
      </c>
      <c r="K9" s="15">
        <f>G9+H9+I9+J9</f>
        <v/>
      </c>
      <c r="L9" s="14">
        <f>IF(Predicciones_Camilo!$E9=Realidad!$E9,1,0)</f>
        <v/>
      </c>
      <c r="M9" s="14">
        <f>IF(Predicciones_Camilo!$F9=Realidad!$F9,1,0)</f>
        <v/>
      </c>
      <c r="N9" s="14">
        <f>IF(Predicciones_Camilo!$G9=Realidad!$G9,1,0)</f>
        <v/>
      </c>
      <c r="O9" s="14">
        <f>IF(Predicciones_Camilo!$H9=Realidad!$H9,1,0)</f>
        <v/>
      </c>
      <c r="P9" s="15">
        <f>L9+M9+N9+O9</f>
        <v/>
      </c>
    </row>
    <row r="10">
      <c r="A10" s="34" t="n">
        <v>9</v>
      </c>
      <c r="B10" s="14">
        <f>IF(Predicciones_Hugo!$E10=Realidad!$E10,1,0)</f>
        <v/>
      </c>
      <c r="C10" s="14">
        <f>IF(Predicciones_Hugo!$F10=Realidad!$F10,1,0)</f>
        <v/>
      </c>
      <c r="D10" s="14">
        <f>IF(Predicciones_Hugo!$G10=Realidad!$G10,1,0)</f>
        <v/>
      </c>
      <c r="E10" s="14">
        <f>IF(Predicciones_Hugo!$H10=Realidad!$H10,1,0)</f>
        <v/>
      </c>
      <c r="F10" s="15">
        <f>B10+C10+D10+E10</f>
        <v/>
      </c>
      <c r="G10" s="14">
        <f>IF(Predicciones_Oscar!$E10=Realidad!$E10,1,0)</f>
        <v/>
      </c>
      <c r="H10" s="14">
        <f>IF(Predicciones_Oscar!$F10=Realidad!$F10,1,0)</f>
        <v/>
      </c>
      <c r="I10" s="14">
        <f>IF(Predicciones_Oscar!$G10=Realidad!$G10,1,0)</f>
        <v/>
      </c>
      <c r="J10" s="14">
        <f>IF(Predicciones_Oscar!$H10=Realidad!$H10,1,0)</f>
        <v/>
      </c>
      <c r="K10" s="15">
        <f>G10+H10+I10+J10</f>
        <v/>
      </c>
      <c r="L10" s="14">
        <f>IF(Predicciones_Camilo!$E10=Realidad!$E10,1,0)</f>
        <v/>
      </c>
      <c r="M10" s="14">
        <f>IF(Predicciones_Camilo!$F10=Realidad!$F10,1,0)</f>
        <v/>
      </c>
      <c r="N10" s="14">
        <f>IF(Predicciones_Camilo!$G10=Realidad!$G10,1,0)</f>
        <v/>
      </c>
      <c r="O10" s="14">
        <f>IF(Predicciones_Camilo!$H10=Realidad!$H10,1,0)</f>
        <v/>
      </c>
      <c r="P10" s="15">
        <f>L10+M10+N10+O10</f>
        <v/>
      </c>
    </row>
    <row r="11">
      <c r="A11" s="34" t="n">
        <v>10</v>
      </c>
      <c r="B11" s="14">
        <f>IF(Predicciones_Hugo!$E11=Realidad!$E11,1,0)</f>
        <v/>
      </c>
      <c r="C11" s="14">
        <f>IF(Predicciones_Hugo!$F11=Realidad!$F11,1,0)</f>
        <v/>
      </c>
      <c r="D11" s="14">
        <f>IF(Predicciones_Hugo!$G11=Realidad!$G11,1,0)</f>
        <v/>
      </c>
      <c r="E11" s="14">
        <f>IF(Predicciones_Hugo!$H11=Realidad!$H11,1,0)</f>
        <v/>
      </c>
      <c r="F11" s="15">
        <f>B11+C11+D11+E11</f>
        <v/>
      </c>
      <c r="G11" s="14">
        <f>IF(Predicciones_Oscar!$E11=Realidad!$E11,1,0)</f>
        <v/>
      </c>
      <c r="H11" s="14">
        <f>IF(Predicciones_Oscar!$F11=Realidad!$F11,1,0)</f>
        <v/>
      </c>
      <c r="I11" s="14">
        <f>IF(Predicciones_Oscar!$G11=Realidad!$G11,1,0)</f>
        <v/>
      </c>
      <c r="J11" s="14">
        <f>IF(Predicciones_Oscar!$H11=Realidad!$H11,1,0)</f>
        <v/>
      </c>
      <c r="K11" s="15">
        <f>G11+H11+I11+J11</f>
        <v/>
      </c>
      <c r="L11" s="14">
        <f>IF(Predicciones_Camilo!$E11=Realidad!$E11,1,0)</f>
        <v/>
      </c>
      <c r="M11" s="14">
        <f>IF(Predicciones_Camilo!$F11=Realidad!$F11,1,0)</f>
        <v/>
      </c>
      <c r="N11" s="14">
        <f>IF(Predicciones_Camilo!$G11=Realidad!$G11,1,0)</f>
        <v/>
      </c>
      <c r="O11" s="14">
        <f>IF(Predicciones_Camilo!$H11=Realidad!$H11,1,0)</f>
        <v/>
      </c>
      <c r="P11" s="15">
        <f>L11+M11+N11+O11</f>
        <v/>
      </c>
    </row>
    <row r="12">
      <c r="A12" s="34" t="n">
        <v>11</v>
      </c>
      <c r="B12" s="14">
        <f>IF(Predicciones_Hugo!$E12=Realidad!$E12,1,0)</f>
        <v/>
      </c>
      <c r="C12" s="14">
        <f>IF(Predicciones_Hugo!$F12=Realidad!$F12,1,0)</f>
        <v/>
      </c>
      <c r="D12" s="14">
        <f>IF(Predicciones_Hugo!$G12=Realidad!$G12,1,0)</f>
        <v/>
      </c>
      <c r="E12" s="14">
        <f>IF(Predicciones_Hugo!$H12=Realidad!$H12,1,0)</f>
        <v/>
      </c>
      <c r="F12" s="15">
        <f>B12+C12+D12+E12</f>
        <v/>
      </c>
      <c r="G12" s="14">
        <f>IF(Predicciones_Oscar!$E12=Realidad!$E12,1,0)</f>
        <v/>
      </c>
      <c r="H12" s="14">
        <f>IF(Predicciones_Oscar!$F12=Realidad!$F12,1,0)</f>
        <v/>
      </c>
      <c r="I12" s="14">
        <f>IF(Predicciones_Oscar!$G12=Realidad!$G12,1,0)</f>
        <v/>
      </c>
      <c r="J12" s="14">
        <f>IF(Predicciones_Oscar!$H12=Realidad!$H12,1,0)</f>
        <v/>
      </c>
      <c r="K12" s="15">
        <f>G12+H12+I12+J12</f>
        <v/>
      </c>
      <c r="L12" s="14">
        <f>IF(Predicciones_Camilo!$E12=Realidad!$E12,1,0)</f>
        <v/>
      </c>
      <c r="M12" s="14">
        <f>IF(Predicciones_Camilo!$F12=Realidad!$F12,1,0)</f>
        <v/>
      </c>
      <c r="N12" s="14">
        <f>IF(Predicciones_Camilo!$G12=Realidad!$G12,1,0)</f>
        <v/>
      </c>
      <c r="O12" s="14">
        <f>IF(Predicciones_Camilo!$H12=Realidad!$H12,1,0)</f>
        <v/>
      </c>
      <c r="P12" s="15">
        <f>L12+M12+N12+O12</f>
        <v/>
      </c>
    </row>
    <row r="13">
      <c r="A13" s="34" t="n">
        <v>12</v>
      </c>
      <c r="B13" s="14">
        <f>IF(Predicciones_Hugo!$E13=Realidad!$E13,1,0)</f>
        <v/>
      </c>
      <c r="C13" s="14">
        <f>IF(Predicciones_Hugo!$F13=Realidad!$F13,1,0)</f>
        <v/>
      </c>
      <c r="D13" s="14">
        <f>IF(Predicciones_Hugo!$G13=Realidad!$G13,1,0)</f>
        <v/>
      </c>
      <c r="E13" s="14">
        <f>IF(Predicciones_Hugo!$H13=Realidad!$H13,1,0)</f>
        <v/>
      </c>
      <c r="F13" s="15">
        <f>B13+C13+D13+E13</f>
        <v/>
      </c>
      <c r="G13" s="14">
        <f>IF(Predicciones_Oscar!$E13=Realidad!$E13,1,0)</f>
        <v/>
      </c>
      <c r="H13" s="14">
        <f>IF(Predicciones_Oscar!$F13=Realidad!$F13,1,0)</f>
        <v/>
      </c>
      <c r="I13" s="14">
        <f>IF(Predicciones_Oscar!$G13=Realidad!$G13,1,0)</f>
        <v/>
      </c>
      <c r="J13" s="14">
        <f>IF(Predicciones_Oscar!$H13=Realidad!$H13,1,0)</f>
        <v/>
      </c>
      <c r="K13" s="15">
        <f>G13+H13+I13+J13</f>
        <v/>
      </c>
      <c r="L13" s="14">
        <f>IF(Predicciones_Camilo!$E13=Realidad!$E13,1,0)</f>
        <v/>
      </c>
      <c r="M13" s="14">
        <f>IF(Predicciones_Camilo!$F13=Realidad!$F13,1,0)</f>
        <v/>
      </c>
      <c r="N13" s="14">
        <f>IF(Predicciones_Camilo!$G13=Realidad!$G13,1,0)</f>
        <v/>
      </c>
      <c r="O13" s="14">
        <f>IF(Predicciones_Camilo!$H13=Realidad!$H13,1,0)</f>
        <v/>
      </c>
      <c r="P13" s="15">
        <f>L13+M13+N13+O13</f>
        <v/>
      </c>
    </row>
    <row r="14">
      <c r="A14" s="34" t="n">
        <v>13</v>
      </c>
      <c r="B14" s="14">
        <f>IF(Predicciones_Hugo!$E14=Realidad!$E14,1,0)</f>
        <v/>
      </c>
      <c r="C14" s="14">
        <f>IF(Predicciones_Hugo!$F14=Realidad!$F14,1,0)</f>
        <v/>
      </c>
      <c r="D14" s="14">
        <f>IF(Predicciones_Hugo!$G14=Realidad!$G14,1,0)</f>
        <v/>
      </c>
      <c r="E14" s="14">
        <f>IF(Predicciones_Hugo!$H14=Realidad!$H14,1,0)</f>
        <v/>
      </c>
      <c r="F14" s="15">
        <f>B14+C14+D14+E14</f>
        <v/>
      </c>
      <c r="G14" s="14">
        <f>IF(Predicciones_Oscar!$E14=Realidad!$E14,1,0)</f>
        <v/>
      </c>
      <c r="H14" s="14">
        <f>IF(Predicciones_Oscar!$F14=Realidad!$F14,1,0)</f>
        <v/>
      </c>
      <c r="I14" s="14">
        <f>IF(Predicciones_Oscar!$G14=Realidad!$G14,1,0)</f>
        <v/>
      </c>
      <c r="J14" s="14">
        <f>IF(Predicciones_Oscar!$H14=Realidad!$H14,1,0)</f>
        <v/>
      </c>
      <c r="K14" s="15">
        <f>G14+H14+I14+J14</f>
        <v/>
      </c>
      <c r="L14" s="14">
        <f>IF(Predicciones_Camilo!$E14=Realidad!$E14,1,0)</f>
        <v/>
      </c>
      <c r="M14" s="14">
        <f>IF(Predicciones_Camilo!$F14=Realidad!$F14,1,0)</f>
        <v/>
      </c>
      <c r="N14" s="14">
        <f>IF(Predicciones_Camilo!$G14=Realidad!$G14,1,0)</f>
        <v/>
      </c>
      <c r="O14" s="14">
        <f>IF(Predicciones_Camilo!$H14=Realidad!$H14,1,0)</f>
        <v/>
      </c>
      <c r="P14" s="15">
        <f>L14+M14+N14+O14</f>
        <v/>
      </c>
    </row>
    <row r="15">
      <c r="A15" s="34" t="n">
        <v>14</v>
      </c>
      <c r="B15" s="14">
        <f>IF(Predicciones_Hugo!$E15=Realidad!$E15,1,0)</f>
        <v/>
      </c>
      <c r="C15" s="14">
        <f>IF(Predicciones_Hugo!$F15=Realidad!$F15,1,0)</f>
        <v/>
      </c>
      <c r="D15" s="14">
        <f>IF(Predicciones_Hugo!$G15=Realidad!$G15,1,0)</f>
        <v/>
      </c>
      <c r="E15" s="14">
        <f>IF(Predicciones_Hugo!$H15=Realidad!$H15,1,0)</f>
        <v/>
      </c>
      <c r="F15" s="15">
        <f>B15+C15+D15+E15</f>
        <v/>
      </c>
      <c r="G15" s="14">
        <f>IF(Predicciones_Oscar!$E15=Realidad!$E15,1,0)</f>
        <v/>
      </c>
      <c r="H15" s="14">
        <f>IF(Predicciones_Oscar!$F15=Realidad!$F15,1,0)</f>
        <v/>
      </c>
      <c r="I15" s="14">
        <f>IF(Predicciones_Oscar!$G15=Realidad!$G15,1,0)</f>
        <v/>
      </c>
      <c r="J15" s="14">
        <f>IF(Predicciones_Oscar!$H15=Realidad!$H15,1,0)</f>
        <v/>
      </c>
      <c r="K15" s="15">
        <f>G15+H15+I15+J15</f>
        <v/>
      </c>
      <c r="L15" s="14">
        <f>IF(Predicciones_Camilo!$E15=Realidad!$E15,1,0)</f>
        <v/>
      </c>
      <c r="M15" s="14">
        <f>IF(Predicciones_Camilo!$F15=Realidad!$F15,1,0)</f>
        <v/>
      </c>
      <c r="N15" s="14">
        <f>IF(Predicciones_Camilo!$G15=Realidad!$G15,1,0)</f>
        <v/>
      </c>
      <c r="O15" s="14">
        <f>IF(Predicciones_Camilo!$H15=Realidad!$H15,1,0)</f>
        <v/>
      </c>
      <c r="P15" s="15">
        <f>L15+M15+N15+O15</f>
        <v/>
      </c>
    </row>
    <row r="16">
      <c r="A16" s="34" t="n">
        <v>15</v>
      </c>
      <c r="B16" s="14">
        <f>IF(Predicciones_Hugo!$E16=Realidad!$E16,1,0)</f>
        <v/>
      </c>
      <c r="C16" s="14">
        <f>IF(Predicciones_Hugo!$F16=Realidad!$F16,1,0)</f>
        <v/>
      </c>
      <c r="D16" s="14">
        <f>IF(Predicciones_Hugo!$G16=Realidad!$G16,1,0)</f>
        <v/>
      </c>
      <c r="E16" s="14">
        <f>IF(Predicciones_Hugo!$H16=Realidad!$H16,1,0)</f>
        <v/>
      </c>
      <c r="F16" s="15">
        <f>B16+C16+D16+E16</f>
        <v/>
      </c>
      <c r="G16" s="14">
        <f>IF(Predicciones_Oscar!$E16=Realidad!$E16,1,0)</f>
        <v/>
      </c>
      <c r="H16" s="14">
        <f>IF(Predicciones_Oscar!$F16=Realidad!$F16,1,0)</f>
        <v/>
      </c>
      <c r="I16" s="14">
        <f>IF(Predicciones_Oscar!$G16=Realidad!$G16,1,0)</f>
        <v/>
      </c>
      <c r="J16" s="14">
        <f>IF(Predicciones_Oscar!$H16=Realidad!$H16,1,0)</f>
        <v/>
      </c>
      <c r="K16" s="15">
        <f>G16+H16+I16+J16</f>
        <v/>
      </c>
      <c r="L16" s="14">
        <f>IF(Predicciones_Camilo!$E16=Realidad!$E16,1,0)</f>
        <v/>
      </c>
      <c r="M16" s="14">
        <f>IF(Predicciones_Camilo!$F16=Realidad!$F16,1,0)</f>
        <v/>
      </c>
      <c r="N16" s="14">
        <f>IF(Predicciones_Camilo!$G16=Realidad!$G16,1,0)</f>
        <v/>
      </c>
      <c r="O16" s="14">
        <f>IF(Predicciones_Camilo!$H16=Realidad!$H16,1,0)</f>
        <v/>
      </c>
      <c r="P16" s="15">
        <f>L16+M16+N16+O16</f>
        <v/>
      </c>
    </row>
    <row r="17">
      <c r="A17" s="34" t="n">
        <v>16</v>
      </c>
      <c r="B17" s="14">
        <f>IF(Predicciones_Hugo!$E17=Realidad!$E17,1,0)</f>
        <v/>
      </c>
      <c r="C17" s="14">
        <f>IF(Predicciones_Hugo!$F17=Realidad!$F17,1,0)</f>
        <v/>
      </c>
      <c r="D17" s="14">
        <f>IF(Predicciones_Hugo!$G17=Realidad!$G17,1,0)</f>
        <v/>
      </c>
      <c r="E17" s="14">
        <f>IF(Predicciones_Hugo!$H17=Realidad!$H17,1,0)</f>
        <v/>
      </c>
      <c r="F17" s="15">
        <f>B17+C17+D17+E17</f>
        <v/>
      </c>
      <c r="G17" s="14">
        <f>IF(Predicciones_Oscar!$E17=Realidad!$E17,1,0)</f>
        <v/>
      </c>
      <c r="H17" s="14">
        <f>IF(Predicciones_Oscar!$F17=Realidad!$F17,1,0)</f>
        <v/>
      </c>
      <c r="I17" s="14">
        <f>IF(Predicciones_Oscar!$G17=Realidad!$G17,1,0)</f>
        <v/>
      </c>
      <c r="J17" s="14">
        <f>IF(Predicciones_Oscar!$H17=Realidad!$H17,1,0)</f>
        <v/>
      </c>
      <c r="K17" s="15">
        <f>G17+H17+I17+J17</f>
        <v/>
      </c>
      <c r="L17" s="14">
        <f>IF(Predicciones_Camilo!$E17=Realidad!$E17,1,0)</f>
        <v/>
      </c>
      <c r="M17" s="14">
        <f>IF(Predicciones_Camilo!$F17=Realidad!$F17,1,0)</f>
        <v/>
      </c>
      <c r="N17" s="14">
        <f>IF(Predicciones_Camilo!$G17=Realidad!$G17,1,0)</f>
        <v/>
      </c>
      <c r="O17" s="14">
        <f>IF(Predicciones_Camilo!$H17=Realidad!$H17,1,0)</f>
        <v/>
      </c>
      <c r="P17" s="15">
        <f>L17+M17+N17+O17</f>
        <v/>
      </c>
    </row>
    <row r="18">
      <c r="A18" s="34" t="n">
        <v>17</v>
      </c>
      <c r="B18" s="14">
        <f>IF(Predicciones_Hugo!$E18=Realidad!$E18,1,0)</f>
        <v/>
      </c>
      <c r="C18" s="14">
        <f>IF(Predicciones_Hugo!$F18=Realidad!$F18,1,0)</f>
        <v/>
      </c>
      <c r="D18" s="14">
        <f>IF(Predicciones_Hugo!$G18=Realidad!$G18,1,0)</f>
        <v/>
      </c>
      <c r="E18" s="14">
        <f>IF(Predicciones_Hugo!$H18=Realidad!$H18,1,0)</f>
        <v/>
      </c>
      <c r="F18" s="15">
        <f>B18+C18+D18+E18</f>
        <v/>
      </c>
      <c r="G18" s="14">
        <f>IF(Predicciones_Oscar!$E18=Realidad!$E18,1,0)</f>
        <v/>
      </c>
      <c r="H18" s="14">
        <f>IF(Predicciones_Oscar!$F18=Realidad!$F18,1,0)</f>
        <v/>
      </c>
      <c r="I18" s="14">
        <f>IF(Predicciones_Oscar!$G18=Realidad!$G18,1,0)</f>
        <v/>
      </c>
      <c r="J18" s="14">
        <f>IF(Predicciones_Oscar!$H18=Realidad!$H18,1,0)</f>
        <v/>
      </c>
      <c r="K18" s="15">
        <f>G18+H18+I18+J18</f>
        <v/>
      </c>
      <c r="L18" s="14">
        <f>IF(Predicciones_Camilo!$E18=Realidad!$E18,1,0)</f>
        <v/>
      </c>
      <c r="M18" s="14">
        <f>IF(Predicciones_Camilo!$F18=Realidad!$F18,1,0)</f>
        <v/>
      </c>
      <c r="N18" s="14">
        <f>IF(Predicciones_Camilo!$G18=Realidad!$G18,1,0)</f>
        <v/>
      </c>
      <c r="O18" s="14">
        <f>IF(Predicciones_Camilo!$H18=Realidad!$H18,1,0)</f>
        <v/>
      </c>
      <c r="P18" s="15">
        <f>L18+M18+N18+O18</f>
        <v/>
      </c>
    </row>
    <row r="19">
      <c r="A19" s="34" t="n">
        <v>18</v>
      </c>
      <c r="B19" s="14">
        <f>IF(Predicciones_Hugo!$E19=Realidad!$E19,1,0)</f>
        <v/>
      </c>
      <c r="C19" s="14">
        <f>IF(Predicciones_Hugo!$F19=Realidad!$F19,1,0)</f>
        <v/>
      </c>
      <c r="D19" s="14">
        <f>IF(Predicciones_Hugo!$G19=Realidad!$G19,1,0)</f>
        <v/>
      </c>
      <c r="E19" s="14">
        <f>IF(Predicciones_Hugo!$H19=Realidad!$H19,1,0)</f>
        <v/>
      </c>
      <c r="F19" s="15">
        <f>B19+C19+D19+E19</f>
        <v/>
      </c>
      <c r="G19" s="14">
        <f>IF(Predicciones_Oscar!$E19=Realidad!$E19,1,0)</f>
        <v/>
      </c>
      <c r="H19" s="14">
        <f>IF(Predicciones_Oscar!$F19=Realidad!$F19,1,0)</f>
        <v/>
      </c>
      <c r="I19" s="14">
        <f>IF(Predicciones_Oscar!$G19=Realidad!$G19,1,0)</f>
        <v/>
      </c>
      <c r="J19" s="14">
        <f>IF(Predicciones_Oscar!$H19=Realidad!$H19,1,0)</f>
        <v/>
      </c>
      <c r="K19" s="15">
        <f>G19+H19+I19+J19</f>
        <v/>
      </c>
      <c r="L19" s="14">
        <f>IF(Predicciones_Camilo!$E19=Realidad!$E19,1,0)</f>
        <v/>
      </c>
      <c r="M19" s="14">
        <f>IF(Predicciones_Camilo!$F19=Realidad!$F19,1,0)</f>
        <v/>
      </c>
      <c r="N19" s="14">
        <f>IF(Predicciones_Camilo!$G19=Realidad!$G19,1,0)</f>
        <v/>
      </c>
      <c r="O19" s="14">
        <f>IF(Predicciones_Camilo!$H19=Realidad!$H19,1,0)</f>
        <v/>
      </c>
      <c r="P19" s="15">
        <f>L19+M19+N19+O19</f>
        <v/>
      </c>
    </row>
    <row r="20">
      <c r="A20" s="34" t="n">
        <v>19</v>
      </c>
      <c r="B20" s="14">
        <f>IF(Predicciones_Hugo!$E20=Realidad!$E20,1,0)</f>
        <v/>
      </c>
      <c r="C20" s="14">
        <f>IF(Predicciones_Hugo!$F20=Realidad!$F20,1,0)</f>
        <v/>
      </c>
      <c r="D20" s="14">
        <f>IF(Predicciones_Hugo!$G20=Realidad!$G20,1,0)</f>
        <v/>
      </c>
      <c r="E20" s="14">
        <f>IF(Predicciones_Hugo!$H20=Realidad!$H20,1,0)</f>
        <v/>
      </c>
      <c r="F20" s="15">
        <f>B20+C20+D20+E20</f>
        <v/>
      </c>
      <c r="G20" s="14">
        <f>IF(Predicciones_Oscar!$E20=Realidad!$E20,1,0)</f>
        <v/>
      </c>
      <c r="H20" s="14">
        <f>IF(Predicciones_Oscar!$F20=Realidad!$F20,1,0)</f>
        <v/>
      </c>
      <c r="I20" s="14">
        <f>IF(Predicciones_Oscar!$G20=Realidad!$G20,1,0)</f>
        <v/>
      </c>
      <c r="J20" s="14">
        <f>IF(Predicciones_Oscar!$H20=Realidad!$H20,1,0)</f>
        <v/>
      </c>
      <c r="K20" s="15">
        <f>G20+H20+I20+J20</f>
        <v/>
      </c>
      <c r="L20" s="14">
        <f>IF(Predicciones_Camilo!$E20=Realidad!$E20,1,0)</f>
        <v/>
      </c>
      <c r="M20" s="14">
        <f>IF(Predicciones_Camilo!$F20=Realidad!$F20,1,0)</f>
        <v/>
      </c>
      <c r="N20" s="14">
        <f>IF(Predicciones_Camilo!$G20=Realidad!$G20,1,0)</f>
        <v/>
      </c>
      <c r="O20" s="14">
        <f>IF(Predicciones_Camilo!$H20=Realidad!$H20,1,0)</f>
        <v/>
      </c>
      <c r="P20" s="15">
        <f>L20+M20+N20+O20</f>
        <v/>
      </c>
    </row>
    <row r="21">
      <c r="A21" s="34" t="n">
        <v>20</v>
      </c>
      <c r="B21" s="14">
        <f>IF(Predicciones_Hugo!$E21=Realidad!$E21,1,0)</f>
        <v/>
      </c>
      <c r="C21" s="14">
        <f>IF(Predicciones_Hugo!$F21=Realidad!$F21,1,0)</f>
        <v/>
      </c>
      <c r="D21" s="14">
        <f>IF(Predicciones_Hugo!$G21=Realidad!$G21,1,0)</f>
        <v/>
      </c>
      <c r="E21" s="14">
        <f>IF(Predicciones_Hugo!$H21=Realidad!$H21,1,0)</f>
        <v/>
      </c>
      <c r="F21" s="15">
        <f>B21+C21+D21+E21</f>
        <v/>
      </c>
      <c r="G21" s="14">
        <f>IF(Predicciones_Oscar!$E21=Realidad!$E21,1,0)</f>
        <v/>
      </c>
      <c r="H21" s="14">
        <f>IF(Predicciones_Oscar!$F21=Realidad!$F21,1,0)</f>
        <v/>
      </c>
      <c r="I21" s="14">
        <f>IF(Predicciones_Oscar!$G21=Realidad!$G21,1,0)</f>
        <v/>
      </c>
      <c r="J21" s="14">
        <f>IF(Predicciones_Oscar!$H21=Realidad!$H21,1,0)</f>
        <v/>
      </c>
      <c r="K21" s="15">
        <f>G21+H21+I21+J21</f>
        <v/>
      </c>
      <c r="L21" s="14">
        <f>IF(Predicciones_Camilo!$E21=Realidad!$E21,1,0)</f>
        <v/>
      </c>
      <c r="M21" s="14">
        <f>IF(Predicciones_Camilo!$F21=Realidad!$F21,1,0)</f>
        <v/>
      </c>
      <c r="N21" s="14">
        <f>IF(Predicciones_Camilo!$G21=Realidad!$G21,1,0)</f>
        <v/>
      </c>
      <c r="O21" s="14">
        <f>IF(Predicciones_Camilo!$H21=Realidad!$H21,1,0)</f>
        <v/>
      </c>
      <c r="P21" s="15">
        <f>L21+M21+N21+O21</f>
        <v/>
      </c>
    </row>
    <row r="22">
      <c r="A22" s="34" t="n">
        <v>21</v>
      </c>
      <c r="B22" s="14">
        <f>IF(Predicciones_Hugo!$E22=Realidad!$E22,1,0)</f>
        <v/>
      </c>
      <c r="C22" s="14">
        <f>IF(Predicciones_Hugo!$F22=Realidad!$F22,1,0)</f>
        <v/>
      </c>
      <c r="D22" s="14">
        <f>IF(Predicciones_Hugo!$G22=Realidad!$G22,1,0)</f>
        <v/>
      </c>
      <c r="E22" s="14">
        <f>IF(Predicciones_Hugo!$H22=Realidad!$H22,1,0)</f>
        <v/>
      </c>
      <c r="F22" s="15">
        <f>B22+C22+D22+E22</f>
        <v/>
      </c>
      <c r="G22" s="14">
        <f>IF(Predicciones_Oscar!$E22=Realidad!$E22,1,0)</f>
        <v/>
      </c>
      <c r="H22" s="14">
        <f>IF(Predicciones_Oscar!$F22=Realidad!$F22,1,0)</f>
        <v/>
      </c>
      <c r="I22" s="14">
        <f>IF(Predicciones_Oscar!$G22=Realidad!$G22,1,0)</f>
        <v/>
      </c>
      <c r="J22" s="14">
        <f>IF(Predicciones_Oscar!$H22=Realidad!$H22,1,0)</f>
        <v/>
      </c>
      <c r="K22" s="15">
        <f>G22+H22+I22+J22</f>
        <v/>
      </c>
      <c r="L22" s="14">
        <f>IF(Predicciones_Camilo!$E22=Realidad!$E22,1,0)</f>
        <v/>
      </c>
      <c r="M22" s="14">
        <f>IF(Predicciones_Camilo!$F22=Realidad!$F22,1,0)</f>
        <v/>
      </c>
      <c r="N22" s="14">
        <f>IF(Predicciones_Camilo!$G22=Realidad!$G22,1,0)</f>
        <v/>
      </c>
      <c r="O22" s="14">
        <f>IF(Predicciones_Camilo!$H22=Realidad!$H22,1,0)</f>
        <v/>
      </c>
      <c r="P22" s="15">
        <f>L22+M22+N22+O22</f>
        <v/>
      </c>
    </row>
    <row r="23">
      <c r="A23" s="34" t="n">
        <v>22</v>
      </c>
      <c r="B23" s="14">
        <f>IF(Predicciones_Hugo!$E23=Realidad!$E23,1,0)</f>
        <v/>
      </c>
      <c r="C23" s="14">
        <f>IF(Predicciones_Hugo!$F23=Realidad!$F23,1,0)</f>
        <v/>
      </c>
      <c r="D23" s="14">
        <f>IF(Predicciones_Hugo!$G23=Realidad!$G23,1,0)</f>
        <v/>
      </c>
      <c r="E23" s="14">
        <f>IF(Predicciones_Hugo!$H23=Realidad!$H23,1,0)</f>
        <v/>
      </c>
      <c r="F23" s="15">
        <f>B23+C23+D23+E23</f>
        <v/>
      </c>
      <c r="G23" s="14">
        <f>IF(Predicciones_Oscar!$E23=Realidad!$E23,1,0)</f>
        <v/>
      </c>
      <c r="H23" s="14">
        <f>IF(Predicciones_Oscar!$F23=Realidad!$F23,1,0)</f>
        <v/>
      </c>
      <c r="I23" s="14">
        <f>IF(Predicciones_Oscar!$G23=Realidad!$G23,1,0)</f>
        <v/>
      </c>
      <c r="J23" s="14">
        <f>IF(Predicciones_Oscar!$H23=Realidad!$H23,1,0)</f>
        <v/>
      </c>
      <c r="K23" s="15">
        <f>G23+H23+I23+J23</f>
        <v/>
      </c>
      <c r="L23" s="14">
        <f>IF(Predicciones_Camilo!$E23=Realidad!$E23,1,0)</f>
        <v/>
      </c>
      <c r="M23" s="14">
        <f>IF(Predicciones_Camilo!$F23=Realidad!$F23,1,0)</f>
        <v/>
      </c>
      <c r="N23" s="14">
        <f>IF(Predicciones_Camilo!$G23=Realidad!$G23,1,0)</f>
        <v/>
      </c>
      <c r="O23" s="14">
        <f>IF(Predicciones_Camilo!$H23=Realidad!$H23,1,0)</f>
        <v/>
      </c>
      <c r="P23" s="15">
        <f>L23+M23+N23+O23</f>
        <v/>
      </c>
    </row>
    <row r="24">
      <c r="A24" s="34" t="n">
        <v>23</v>
      </c>
      <c r="B24" s="14">
        <f>IF(Predicciones_Hugo!$E24=Realidad!$E24,1,0)</f>
        <v/>
      </c>
      <c r="C24" s="14">
        <f>IF(Predicciones_Hugo!$F24=Realidad!$F24,1,0)</f>
        <v/>
      </c>
      <c r="D24" s="14">
        <f>IF(Predicciones_Hugo!$G24=Realidad!$G24,1,0)</f>
        <v/>
      </c>
      <c r="E24" s="14">
        <f>IF(Predicciones_Hugo!$H24=Realidad!$H24,1,0)</f>
        <v/>
      </c>
      <c r="F24" s="15">
        <f>B24+C24+D24+E24</f>
        <v/>
      </c>
      <c r="G24" s="14">
        <f>IF(Predicciones_Oscar!$E24=Realidad!$E24,1,0)</f>
        <v/>
      </c>
      <c r="H24" s="14">
        <f>IF(Predicciones_Oscar!$F24=Realidad!$F24,1,0)</f>
        <v/>
      </c>
      <c r="I24" s="14">
        <f>IF(Predicciones_Oscar!$G24=Realidad!$G24,1,0)</f>
        <v/>
      </c>
      <c r="J24" s="14">
        <f>IF(Predicciones_Oscar!$H24=Realidad!$H24,1,0)</f>
        <v/>
      </c>
      <c r="K24" s="15">
        <f>G24+H24+I24+J24</f>
        <v/>
      </c>
      <c r="L24" s="14">
        <f>IF(Predicciones_Camilo!$E24=Realidad!$E24,1,0)</f>
        <v/>
      </c>
      <c r="M24" s="14">
        <f>IF(Predicciones_Camilo!$F24=Realidad!$F24,1,0)</f>
        <v/>
      </c>
      <c r="N24" s="14">
        <f>IF(Predicciones_Camilo!$G24=Realidad!$G24,1,0)</f>
        <v/>
      </c>
      <c r="O24" s="14">
        <f>IF(Predicciones_Camilo!$H24=Realidad!$H24,1,0)</f>
        <v/>
      </c>
      <c r="P24" s="15">
        <f>L24+M24+N24+O24</f>
        <v/>
      </c>
    </row>
    <row r="25">
      <c r="A25" s="34" t="n">
        <v>24</v>
      </c>
      <c r="B25" s="14">
        <f>IF(Predicciones_Hugo!$E25=Realidad!$E25,1,0)</f>
        <v/>
      </c>
      <c r="C25" s="14">
        <f>IF(Predicciones_Hugo!$F25=Realidad!$F25,1,0)</f>
        <v/>
      </c>
      <c r="D25" s="14">
        <f>IF(Predicciones_Hugo!$G25=Realidad!$G25,1,0)</f>
        <v/>
      </c>
      <c r="E25" s="14">
        <f>IF(Predicciones_Hugo!$H25=Realidad!$H25,1,0)</f>
        <v/>
      </c>
      <c r="F25" s="15">
        <f>B25+C25+D25+E25</f>
        <v/>
      </c>
      <c r="G25" s="14">
        <f>IF(Predicciones_Oscar!$E25=Realidad!$E25,1,0)</f>
        <v/>
      </c>
      <c r="H25" s="14">
        <f>IF(Predicciones_Oscar!$F25=Realidad!$F25,1,0)</f>
        <v/>
      </c>
      <c r="I25" s="14">
        <f>IF(Predicciones_Oscar!$G25=Realidad!$G25,1,0)</f>
        <v/>
      </c>
      <c r="J25" s="14">
        <f>IF(Predicciones_Oscar!$H25=Realidad!$H25,1,0)</f>
        <v/>
      </c>
      <c r="K25" s="15">
        <f>G25+H25+I25+J25</f>
        <v/>
      </c>
      <c r="L25" s="14">
        <f>IF(Predicciones_Camilo!$E25=Realidad!$E25,1,0)</f>
        <v/>
      </c>
      <c r="M25" s="14">
        <f>IF(Predicciones_Camilo!$F25=Realidad!$F25,1,0)</f>
        <v/>
      </c>
      <c r="N25" s="14">
        <f>IF(Predicciones_Camilo!$G25=Realidad!$G25,1,0)</f>
        <v/>
      </c>
      <c r="O25" s="14">
        <f>IF(Predicciones_Camilo!$H25=Realidad!$H25,1,0)</f>
        <v/>
      </c>
      <c r="P25" s="15">
        <f>L25+M25+N25+O25</f>
        <v/>
      </c>
    </row>
    <row r="26">
      <c r="A26" s="34" t="n">
        <v>25</v>
      </c>
      <c r="B26" s="14">
        <f>IF(Predicciones_Hugo!$E26=Realidad!$E26,1,0)</f>
        <v/>
      </c>
      <c r="C26" s="14">
        <f>IF(Predicciones_Hugo!$F26=Realidad!$F26,1,0)</f>
        <v/>
      </c>
      <c r="D26" s="14">
        <f>IF(Predicciones_Hugo!$G26=Realidad!$G26,1,0)</f>
        <v/>
      </c>
      <c r="E26" s="14">
        <f>IF(Predicciones_Hugo!$H26=Realidad!$H26,1,0)</f>
        <v/>
      </c>
      <c r="F26" s="15">
        <f>B26+C26+D26+E26</f>
        <v/>
      </c>
      <c r="G26" s="14">
        <f>IF(Predicciones_Oscar!$E26=Realidad!$E26,1,0)</f>
        <v/>
      </c>
      <c r="H26" s="14">
        <f>IF(Predicciones_Oscar!$F26=Realidad!$F26,1,0)</f>
        <v/>
      </c>
      <c r="I26" s="14">
        <f>IF(Predicciones_Oscar!$G26=Realidad!$G26,1,0)</f>
        <v/>
      </c>
      <c r="J26" s="14">
        <f>IF(Predicciones_Oscar!$H26=Realidad!$H26,1,0)</f>
        <v/>
      </c>
      <c r="K26" s="15">
        <f>G26+H26+I26+J26</f>
        <v/>
      </c>
      <c r="L26" s="14">
        <f>IF(Predicciones_Camilo!$E26=Realidad!$E26,1,0)</f>
        <v/>
      </c>
      <c r="M26" s="14">
        <f>IF(Predicciones_Camilo!$F26=Realidad!$F26,1,0)</f>
        <v/>
      </c>
      <c r="N26" s="14">
        <f>IF(Predicciones_Camilo!$G26=Realidad!$G26,1,0)</f>
        <v/>
      </c>
      <c r="O26" s="14">
        <f>IF(Predicciones_Camilo!$H26=Realidad!$H26,1,0)</f>
        <v/>
      </c>
      <c r="P26" s="15">
        <f>L26+M26+N26+O26</f>
        <v/>
      </c>
    </row>
    <row r="27">
      <c r="A27" s="34" t="n">
        <v>26</v>
      </c>
      <c r="B27" s="14">
        <f>IF(Predicciones_Hugo!$E27=Realidad!$E27,1,0)</f>
        <v/>
      </c>
      <c r="C27" s="14">
        <f>IF(Predicciones_Hugo!$F27=Realidad!$F27,1,0)</f>
        <v/>
      </c>
      <c r="D27" s="14">
        <f>IF(Predicciones_Hugo!$G27=Realidad!$G27,1,0)</f>
        <v/>
      </c>
      <c r="E27" s="14">
        <f>IF(Predicciones_Hugo!$H27=Realidad!$H27,1,0)</f>
        <v/>
      </c>
      <c r="F27" s="15">
        <f>B27+C27+D27+E27</f>
        <v/>
      </c>
      <c r="G27" s="14">
        <f>IF(Predicciones_Oscar!$E27=Realidad!$E27,1,0)</f>
        <v/>
      </c>
      <c r="H27" s="14">
        <f>IF(Predicciones_Oscar!$F27=Realidad!$F27,1,0)</f>
        <v/>
      </c>
      <c r="I27" s="14">
        <f>IF(Predicciones_Oscar!$G27=Realidad!$G27,1,0)</f>
        <v/>
      </c>
      <c r="J27" s="14">
        <f>IF(Predicciones_Oscar!$H27=Realidad!$H27,1,0)</f>
        <v/>
      </c>
      <c r="K27" s="15">
        <f>G27+H27+I27+J27</f>
        <v/>
      </c>
      <c r="L27" s="14">
        <f>IF(Predicciones_Camilo!$E27=Realidad!$E27,1,0)</f>
        <v/>
      </c>
      <c r="M27" s="14">
        <f>IF(Predicciones_Camilo!$F27=Realidad!$F27,1,0)</f>
        <v/>
      </c>
      <c r="N27" s="14">
        <f>IF(Predicciones_Camilo!$G27=Realidad!$G27,1,0)</f>
        <v/>
      </c>
      <c r="O27" s="14">
        <f>IF(Predicciones_Camilo!$H27=Realidad!$H27,1,0)</f>
        <v/>
      </c>
      <c r="P27" s="15">
        <f>L27+M27+N27+O27</f>
        <v/>
      </c>
    </row>
    <row r="28">
      <c r="A28" s="34" t="n">
        <v>27</v>
      </c>
      <c r="B28" s="14">
        <f>IF(Predicciones_Hugo!$E28=Realidad!$E28,1,0)</f>
        <v/>
      </c>
      <c r="C28" s="14">
        <f>IF(Predicciones_Hugo!$F28=Realidad!$F28,1,0)</f>
        <v/>
      </c>
      <c r="D28" s="14">
        <f>IF(Predicciones_Hugo!$G28=Realidad!$G28,1,0)</f>
        <v/>
      </c>
      <c r="E28" s="14">
        <f>IF(Predicciones_Hugo!$H28=Realidad!$H28,1,0)</f>
        <v/>
      </c>
      <c r="F28" s="15">
        <f>B28+C28+D28+E28</f>
        <v/>
      </c>
      <c r="G28" s="14">
        <f>IF(Predicciones_Oscar!$E28=Realidad!$E28,1,0)</f>
        <v/>
      </c>
      <c r="H28" s="14">
        <f>IF(Predicciones_Oscar!$F28=Realidad!$F28,1,0)</f>
        <v/>
      </c>
      <c r="I28" s="14">
        <f>IF(Predicciones_Oscar!$G28=Realidad!$G28,1,0)</f>
        <v/>
      </c>
      <c r="J28" s="14">
        <f>IF(Predicciones_Oscar!$H28=Realidad!$H28,1,0)</f>
        <v/>
      </c>
      <c r="K28" s="15">
        <f>G28+H28+I28+J28</f>
        <v/>
      </c>
      <c r="L28" s="14">
        <f>IF(Predicciones_Camilo!$E28=Realidad!$E28,1,0)</f>
        <v/>
      </c>
      <c r="M28" s="14">
        <f>IF(Predicciones_Camilo!$F28=Realidad!$F28,1,0)</f>
        <v/>
      </c>
      <c r="N28" s="14">
        <f>IF(Predicciones_Camilo!$G28=Realidad!$G28,1,0)</f>
        <v/>
      </c>
      <c r="O28" s="14">
        <f>IF(Predicciones_Camilo!$H28=Realidad!$H28,1,0)</f>
        <v/>
      </c>
      <c r="P28" s="15">
        <f>L28+M28+N28+O28</f>
        <v/>
      </c>
    </row>
    <row r="29">
      <c r="A29" s="34" t="n">
        <v>28</v>
      </c>
      <c r="B29" s="14">
        <f>IF(Predicciones_Hugo!$E29=Realidad!$E29,1,0)</f>
        <v/>
      </c>
      <c r="C29" s="14">
        <f>IF(Predicciones_Hugo!$F29=Realidad!$F29,1,0)</f>
        <v/>
      </c>
      <c r="D29" s="14">
        <f>IF(Predicciones_Hugo!$G29=Realidad!$G29,1,0)</f>
        <v/>
      </c>
      <c r="E29" s="14">
        <f>IF(Predicciones_Hugo!$H29=Realidad!$H29,1,0)</f>
        <v/>
      </c>
      <c r="F29" s="15">
        <f>B29+C29+D29+E29</f>
        <v/>
      </c>
      <c r="G29" s="14">
        <f>IF(Predicciones_Oscar!$E29=Realidad!$E29,1,0)</f>
        <v/>
      </c>
      <c r="H29" s="14">
        <f>IF(Predicciones_Oscar!$F29=Realidad!$F29,1,0)</f>
        <v/>
      </c>
      <c r="I29" s="14">
        <f>IF(Predicciones_Oscar!$G29=Realidad!$G29,1,0)</f>
        <v/>
      </c>
      <c r="J29" s="14">
        <f>IF(Predicciones_Oscar!$H29=Realidad!$H29,1,0)</f>
        <v/>
      </c>
      <c r="K29" s="15">
        <f>G29+H29+I29+J29</f>
        <v/>
      </c>
      <c r="L29" s="14">
        <f>IF(Predicciones_Camilo!$E29=Realidad!$E29,1,0)</f>
        <v/>
      </c>
      <c r="M29" s="14">
        <f>IF(Predicciones_Camilo!$F29=Realidad!$F29,1,0)</f>
        <v/>
      </c>
      <c r="N29" s="14">
        <f>IF(Predicciones_Camilo!$G29=Realidad!$G29,1,0)</f>
        <v/>
      </c>
      <c r="O29" s="14">
        <f>IF(Predicciones_Camilo!$H29=Realidad!$H29,1,0)</f>
        <v/>
      </c>
      <c r="P29" s="15">
        <f>L29+M29+N29+O29</f>
        <v/>
      </c>
    </row>
    <row r="30">
      <c r="A30" s="34" t="n">
        <v>29</v>
      </c>
      <c r="B30" s="14">
        <f>IF(Predicciones_Hugo!$E30=Realidad!$E30,1,0)</f>
        <v/>
      </c>
      <c r="C30" s="14">
        <f>IF(Predicciones_Hugo!$F30=Realidad!$F30,1,0)</f>
        <v/>
      </c>
      <c r="D30" s="14">
        <f>IF(Predicciones_Hugo!$G30=Realidad!$G30,1,0)</f>
        <v/>
      </c>
      <c r="E30" s="14">
        <f>IF(Predicciones_Hugo!$H30=Realidad!$H30,1,0)</f>
        <v/>
      </c>
      <c r="F30" s="15">
        <f>B30+C30+D30+E30</f>
        <v/>
      </c>
      <c r="G30" s="14">
        <f>IF(Predicciones_Oscar!$E30=Realidad!$E30,1,0)</f>
        <v/>
      </c>
      <c r="H30" s="14">
        <f>IF(Predicciones_Oscar!$F30=Realidad!$F30,1,0)</f>
        <v/>
      </c>
      <c r="I30" s="14">
        <f>IF(Predicciones_Oscar!$G30=Realidad!$G30,1,0)</f>
        <v/>
      </c>
      <c r="J30" s="14">
        <f>IF(Predicciones_Oscar!$H30=Realidad!$H30,1,0)</f>
        <v/>
      </c>
      <c r="K30" s="15">
        <f>G30+H30+I30+J30</f>
        <v/>
      </c>
      <c r="L30" s="14">
        <f>IF(Predicciones_Camilo!$E30=Realidad!$E30,1,0)</f>
        <v/>
      </c>
      <c r="M30" s="14">
        <f>IF(Predicciones_Camilo!$F30=Realidad!$F30,1,0)</f>
        <v/>
      </c>
      <c r="N30" s="14">
        <f>IF(Predicciones_Camilo!$G30=Realidad!$G30,1,0)</f>
        <v/>
      </c>
      <c r="O30" s="14">
        <f>IF(Predicciones_Camilo!$H30=Realidad!$H30,1,0)</f>
        <v/>
      </c>
      <c r="P30" s="15">
        <f>L30+M30+N30+O30</f>
        <v/>
      </c>
    </row>
    <row r="31">
      <c r="A31" s="34" t="n">
        <v>30</v>
      </c>
      <c r="B31" s="14">
        <f>IF(Predicciones_Hugo!$E31=Realidad!$E31,1,0)</f>
        <v/>
      </c>
      <c r="C31" s="14">
        <f>IF(Predicciones_Hugo!$F31=Realidad!$F31,1,0)</f>
        <v/>
      </c>
      <c r="D31" s="14">
        <f>IF(Predicciones_Hugo!$G31=Realidad!$G31,1,0)</f>
        <v/>
      </c>
      <c r="E31" s="14">
        <f>IF(Predicciones_Hugo!$H31=Realidad!$H31,1,0)</f>
        <v/>
      </c>
      <c r="F31" s="15">
        <f>B31+C31+D31+E31</f>
        <v/>
      </c>
      <c r="G31" s="14">
        <f>IF(Predicciones_Oscar!$E31=Realidad!$E31,1,0)</f>
        <v/>
      </c>
      <c r="H31" s="14">
        <f>IF(Predicciones_Oscar!$F31=Realidad!$F31,1,0)</f>
        <v/>
      </c>
      <c r="I31" s="14">
        <f>IF(Predicciones_Oscar!$G31=Realidad!$G31,1,0)</f>
        <v/>
      </c>
      <c r="J31" s="14">
        <f>IF(Predicciones_Oscar!$H31=Realidad!$H31,1,0)</f>
        <v/>
      </c>
      <c r="K31" s="15">
        <f>G31+H31+I31+J31</f>
        <v/>
      </c>
      <c r="L31" s="14">
        <f>IF(Predicciones_Camilo!$E31=Realidad!$E31,1,0)</f>
        <v/>
      </c>
      <c r="M31" s="14">
        <f>IF(Predicciones_Camilo!$F31=Realidad!$F31,1,0)</f>
        <v/>
      </c>
      <c r="N31" s="14">
        <f>IF(Predicciones_Camilo!$G31=Realidad!$G31,1,0)</f>
        <v/>
      </c>
      <c r="O31" s="14">
        <f>IF(Predicciones_Camilo!$H31=Realidad!$H31,1,0)</f>
        <v/>
      </c>
      <c r="P31" s="15">
        <f>L31+M31+N31+O31</f>
        <v/>
      </c>
    </row>
    <row r="32">
      <c r="A32" s="34" t="n">
        <v>31</v>
      </c>
      <c r="B32" s="14">
        <f>IF(Predicciones_Hugo!$E32=Realidad!$E32,1,0)</f>
        <v/>
      </c>
      <c r="C32" s="14">
        <f>IF(Predicciones_Hugo!$F32=Realidad!$F32,1,0)</f>
        <v/>
      </c>
      <c r="D32" s="14">
        <f>IF(Predicciones_Hugo!$G32=Realidad!$G32,1,0)</f>
        <v/>
      </c>
      <c r="E32" s="14">
        <f>IF(Predicciones_Hugo!$H32=Realidad!$H32,1,0)</f>
        <v/>
      </c>
      <c r="F32" s="15">
        <f>B32+C32+D32+E32</f>
        <v/>
      </c>
      <c r="G32" s="14">
        <f>IF(Predicciones_Oscar!$E32=Realidad!$E32,1,0)</f>
        <v/>
      </c>
      <c r="H32" s="14">
        <f>IF(Predicciones_Oscar!$F32=Realidad!$F32,1,0)</f>
        <v/>
      </c>
      <c r="I32" s="14">
        <f>IF(Predicciones_Oscar!$G32=Realidad!$G32,1,0)</f>
        <v/>
      </c>
      <c r="J32" s="14">
        <f>IF(Predicciones_Oscar!$H32=Realidad!$H32,1,0)</f>
        <v/>
      </c>
      <c r="K32" s="15">
        <f>G32+H32+I32+J32</f>
        <v/>
      </c>
      <c r="L32" s="14">
        <f>IF(Predicciones_Camilo!$E32=Realidad!$E32,1,0)</f>
        <v/>
      </c>
      <c r="M32" s="14">
        <f>IF(Predicciones_Camilo!$F32=Realidad!$F32,1,0)</f>
        <v/>
      </c>
      <c r="N32" s="14">
        <f>IF(Predicciones_Camilo!$G32=Realidad!$G32,1,0)</f>
        <v/>
      </c>
      <c r="O32" s="14">
        <f>IF(Predicciones_Camilo!$H32=Realidad!$H32,1,0)</f>
        <v/>
      </c>
      <c r="P32" s="15">
        <f>L32+M32+N32+O32</f>
        <v/>
      </c>
    </row>
    <row r="33">
      <c r="A33" s="34" t="n">
        <v>32</v>
      </c>
      <c r="B33" s="14">
        <f>IF(Predicciones_Hugo!$E33=Realidad!$E33,1,0)</f>
        <v/>
      </c>
      <c r="C33" s="14">
        <f>IF(Predicciones_Hugo!$F33=Realidad!$F33,1,0)</f>
        <v/>
      </c>
      <c r="D33" s="14">
        <f>IF(Predicciones_Hugo!$G33=Realidad!$G33,1,0)</f>
        <v/>
      </c>
      <c r="E33" s="14">
        <f>IF(Predicciones_Hugo!$H33=Realidad!$H33,1,0)</f>
        <v/>
      </c>
      <c r="F33" s="15">
        <f>B33+C33+D33+E33</f>
        <v/>
      </c>
      <c r="G33" s="14">
        <f>IF(Predicciones_Oscar!$E33=Realidad!$E33,1,0)</f>
        <v/>
      </c>
      <c r="H33" s="14">
        <f>IF(Predicciones_Oscar!$F33=Realidad!$F33,1,0)</f>
        <v/>
      </c>
      <c r="I33" s="14">
        <f>IF(Predicciones_Oscar!$G33=Realidad!$G33,1,0)</f>
        <v/>
      </c>
      <c r="J33" s="14">
        <f>IF(Predicciones_Oscar!$H33=Realidad!$H33,1,0)</f>
        <v/>
      </c>
      <c r="K33" s="15">
        <f>G33+H33+I33+J33</f>
        <v/>
      </c>
      <c r="L33" s="14">
        <f>IF(Predicciones_Camilo!$E33=Realidad!$E33,1,0)</f>
        <v/>
      </c>
      <c r="M33" s="14">
        <f>IF(Predicciones_Camilo!$F33=Realidad!$F33,1,0)</f>
        <v/>
      </c>
      <c r="N33" s="14">
        <f>IF(Predicciones_Camilo!$G33=Realidad!$G33,1,0)</f>
        <v/>
      </c>
      <c r="O33" s="14">
        <f>IF(Predicciones_Camilo!$H33=Realidad!$H33,1,0)</f>
        <v/>
      </c>
      <c r="P33" s="15">
        <f>L33+M33+N33+O33</f>
        <v/>
      </c>
    </row>
    <row r="34">
      <c r="A34" s="34" t="n">
        <v>33</v>
      </c>
      <c r="B34" s="14">
        <f>IF(Predicciones_Hugo!$E34=Realidad!$E34,1,0)</f>
        <v/>
      </c>
      <c r="C34" s="14">
        <f>IF(Predicciones_Hugo!$F34=Realidad!$F34,1,0)</f>
        <v/>
      </c>
      <c r="D34" s="14">
        <f>IF(Predicciones_Hugo!$G34=Realidad!$G34,1,0)</f>
        <v/>
      </c>
      <c r="E34" s="14">
        <f>IF(Predicciones_Hugo!$H34=Realidad!$H34,1,0)</f>
        <v/>
      </c>
      <c r="F34" s="15">
        <f>B34+C34+D34+E34</f>
        <v/>
      </c>
      <c r="G34" s="14">
        <f>IF(Predicciones_Oscar!$E34=Realidad!$E34,1,0)</f>
        <v/>
      </c>
      <c r="H34" s="14">
        <f>IF(Predicciones_Oscar!$F34=Realidad!$F34,1,0)</f>
        <v/>
      </c>
      <c r="I34" s="14">
        <f>IF(Predicciones_Oscar!$G34=Realidad!$G34,1,0)</f>
        <v/>
      </c>
      <c r="J34" s="14">
        <f>IF(Predicciones_Oscar!$H34=Realidad!$H34,1,0)</f>
        <v/>
      </c>
      <c r="K34" s="15">
        <f>G34+H34+I34+J34</f>
        <v/>
      </c>
      <c r="L34" s="14">
        <f>IF(Predicciones_Camilo!$E34=Realidad!$E34,1,0)</f>
        <v/>
      </c>
      <c r="M34" s="14">
        <f>IF(Predicciones_Camilo!$F34=Realidad!$F34,1,0)</f>
        <v/>
      </c>
      <c r="N34" s="14">
        <f>IF(Predicciones_Camilo!$G34=Realidad!$G34,1,0)</f>
        <v/>
      </c>
      <c r="O34" s="14">
        <f>IF(Predicciones_Camilo!$H34=Realidad!$H34,1,0)</f>
        <v/>
      </c>
      <c r="P34" s="15">
        <f>L34+M34+N34+O34</f>
        <v/>
      </c>
    </row>
    <row r="35">
      <c r="A35" s="34" t="n">
        <v>34</v>
      </c>
      <c r="B35" s="14">
        <f>IF(Predicciones_Hugo!$E35=Realidad!$E35,1,0)</f>
        <v/>
      </c>
      <c r="C35" s="14">
        <f>IF(Predicciones_Hugo!$F35=Realidad!$F35,1,0)</f>
        <v/>
      </c>
      <c r="D35" s="14">
        <f>IF(Predicciones_Hugo!$G35=Realidad!$G35,1,0)</f>
        <v/>
      </c>
      <c r="E35" s="14">
        <f>IF(Predicciones_Hugo!$H35=Realidad!$H35,1,0)</f>
        <v/>
      </c>
      <c r="F35" s="15">
        <f>B35+C35+D35+E35</f>
        <v/>
      </c>
      <c r="G35" s="14">
        <f>IF(Predicciones_Oscar!$E35=Realidad!$E35,1,0)</f>
        <v/>
      </c>
      <c r="H35" s="14">
        <f>IF(Predicciones_Oscar!$F35=Realidad!$F35,1,0)</f>
        <v/>
      </c>
      <c r="I35" s="14">
        <f>IF(Predicciones_Oscar!$G35=Realidad!$G35,1,0)</f>
        <v/>
      </c>
      <c r="J35" s="14">
        <f>IF(Predicciones_Oscar!$H35=Realidad!$H35,1,0)</f>
        <v/>
      </c>
      <c r="K35" s="15">
        <f>G35+H35+I35+J35</f>
        <v/>
      </c>
      <c r="L35" s="14">
        <f>IF(Predicciones_Camilo!$E35=Realidad!$E35,1,0)</f>
        <v/>
      </c>
      <c r="M35" s="14">
        <f>IF(Predicciones_Camilo!$F35=Realidad!$F35,1,0)</f>
        <v/>
      </c>
      <c r="N35" s="14">
        <f>IF(Predicciones_Camilo!$G35=Realidad!$G35,1,0)</f>
        <v/>
      </c>
      <c r="O35" s="14">
        <f>IF(Predicciones_Camilo!$H35=Realidad!$H35,1,0)</f>
        <v/>
      </c>
      <c r="P35" s="15">
        <f>L35+M35+N35+O35</f>
        <v/>
      </c>
    </row>
    <row r="36">
      <c r="A36" s="34" t="n">
        <v>35</v>
      </c>
      <c r="B36" s="14">
        <f>IF(Predicciones_Hugo!$E36=Realidad!$E36,1,0)</f>
        <v/>
      </c>
      <c r="C36" s="14">
        <f>IF(Predicciones_Hugo!$F36=Realidad!$F36,1,0)</f>
        <v/>
      </c>
      <c r="D36" s="14">
        <f>IF(Predicciones_Hugo!$G36=Realidad!$G36,1,0)</f>
        <v/>
      </c>
      <c r="E36" s="14">
        <f>IF(Predicciones_Hugo!$H36=Realidad!$H36,1,0)</f>
        <v/>
      </c>
      <c r="F36" s="15">
        <f>B36+C36+D36+E36</f>
        <v/>
      </c>
      <c r="G36" s="14">
        <f>IF(Predicciones_Oscar!$E36=Realidad!$E36,1,0)</f>
        <v/>
      </c>
      <c r="H36" s="14">
        <f>IF(Predicciones_Oscar!$F36=Realidad!$F36,1,0)</f>
        <v/>
      </c>
      <c r="I36" s="14">
        <f>IF(Predicciones_Oscar!$G36=Realidad!$G36,1,0)</f>
        <v/>
      </c>
      <c r="J36" s="14">
        <f>IF(Predicciones_Oscar!$H36=Realidad!$H36,1,0)</f>
        <v/>
      </c>
      <c r="K36" s="15">
        <f>G36+H36+I36+J36</f>
        <v/>
      </c>
      <c r="L36" s="14">
        <f>IF(Predicciones_Camilo!$E36=Realidad!$E36,1,0)</f>
        <v/>
      </c>
      <c r="M36" s="14">
        <f>IF(Predicciones_Camilo!$F36=Realidad!$F36,1,0)</f>
        <v/>
      </c>
      <c r="N36" s="14">
        <f>IF(Predicciones_Camilo!$G36=Realidad!$G36,1,0)</f>
        <v/>
      </c>
      <c r="O36" s="14">
        <f>IF(Predicciones_Camilo!$H36=Realidad!$H36,1,0)</f>
        <v/>
      </c>
      <c r="P36" s="15">
        <f>L36+M36+N36+O36</f>
        <v/>
      </c>
    </row>
    <row r="37">
      <c r="A37" s="34" t="n">
        <v>36</v>
      </c>
      <c r="B37" s="14">
        <f>IF(Predicciones_Hugo!$E37=Realidad!$E37,1,0)</f>
        <v/>
      </c>
      <c r="C37" s="14">
        <f>IF(Predicciones_Hugo!$F37=Realidad!$F37,1,0)</f>
        <v/>
      </c>
      <c r="D37" s="14">
        <f>IF(Predicciones_Hugo!$G37=Realidad!$G37,1,0)</f>
        <v/>
      </c>
      <c r="E37" s="14">
        <f>IF(Predicciones_Hugo!$H37=Realidad!$H37,1,0)</f>
        <v/>
      </c>
      <c r="F37" s="15">
        <f>B37+C37+D37+E37</f>
        <v/>
      </c>
      <c r="G37" s="14">
        <f>IF(Predicciones_Oscar!$E37=Realidad!$E37,1,0)</f>
        <v/>
      </c>
      <c r="H37" s="14">
        <f>IF(Predicciones_Oscar!$F37=Realidad!$F37,1,0)</f>
        <v/>
      </c>
      <c r="I37" s="14">
        <f>IF(Predicciones_Oscar!$G37=Realidad!$G37,1,0)</f>
        <v/>
      </c>
      <c r="J37" s="14">
        <f>IF(Predicciones_Oscar!$H37=Realidad!$H37,1,0)</f>
        <v/>
      </c>
      <c r="K37" s="15">
        <f>G37+H37+I37+J37</f>
        <v/>
      </c>
      <c r="L37" s="14">
        <f>IF(Predicciones_Camilo!$E37=Realidad!$E37,1,0)</f>
        <v/>
      </c>
      <c r="M37" s="14">
        <f>IF(Predicciones_Camilo!$F37=Realidad!$F37,1,0)</f>
        <v/>
      </c>
      <c r="N37" s="14">
        <f>IF(Predicciones_Camilo!$G37=Realidad!$G37,1,0)</f>
        <v/>
      </c>
      <c r="O37" s="14">
        <f>IF(Predicciones_Camilo!$H37=Realidad!$H37,1,0)</f>
        <v/>
      </c>
      <c r="P37" s="15">
        <f>L37+M37+N37+O37</f>
        <v/>
      </c>
    </row>
    <row r="38">
      <c r="A38" s="34" t="n">
        <v>37</v>
      </c>
      <c r="B38" s="14">
        <f>IF(Predicciones_Hugo!$E38=Realidad!$E38,1,0)</f>
        <v/>
      </c>
      <c r="C38" s="14">
        <f>IF(Predicciones_Hugo!$F38=Realidad!$F38,1,0)</f>
        <v/>
      </c>
      <c r="D38" s="14">
        <f>IF(Predicciones_Hugo!$G38=Realidad!$G38,1,0)</f>
        <v/>
      </c>
      <c r="E38" s="14">
        <f>IF(Predicciones_Hugo!$H38=Realidad!$H38,1,0)</f>
        <v/>
      </c>
      <c r="F38" s="15">
        <f>B38+C38+D38+E38</f>
        <v/>
      </c>
      <c r="G38" s="14">
        <f>IF(Predicciones_Oscar!$E38=Realidad!$E38,1,0)</f>
        <v/>
      </c>
      <c r="H38" s="14">
        <f>IF(Predicciones_Oscar!$F38=Realidad!$F38,1,0)</f>
        <v/>
      </c>
      <c r="I38" s="14">
        <f>IF(Predicciones_Oscar!$G38=Realidad!$G38,1,0)</f>
        <v/>
      </c>
      <c r="J38" s="14">
        <f>IF(Predicciones_Oscar!$H38=Realidad!$H38,1,0)</f>
        <v/>
      </c>
      <c r="K38" s="15">
        <f>G38+H38+I38+J38</f>
        <v/>
      </c>
      <c r="L38" s="14">
        <f>IF(Predicciones_Camilo!$E38=Realidad!$E38,1,0)</f>
        <v/>
      </c>
      <c r="M38" s="14">
        <f>IF(Predicciones_Camilo!$F38=Realidad!$F38,1,0)</f>
        <v/>
      </c>
      <c r="N38" s="14">
        <f>IF(Predicciones_Camilo!$G38=Realidad!$G38,1,0)</f>
        <v/>
      </c>
      <c r="O38" s="14">
        <f>IF(Predicciones_Camilo!$H38=Realidad!$H38,1,0)</f>
        <v/>
      </c>
      <c r="P38" s="15">
        <f>L38+M38+N38+O38</f>
        <v/>
      </c>
    </row>
    <row r="39">
      <c r="A39" s="34" t="n">
        <v>38</v>
      </c>
      <c r="B39" s="14">
        <f>IF(Predicciones_Hugo!$E39=Realidad!$E39,1,0)</f>
        <v/>
      </c>
      <c r="C39" s="14">
        <f>IF(Predicciones_Hugo!$F39=Realidad!$F39,1,0)</f>
        <v/>
      </c>
      <c r="D39" s="14">
        <f>IF(Predicciones_Hugo!$G39=Realidad!$G39,1,0)</f>
        <v/>
      </c>
      <c r="E39" s="14">
        <f>IF(Predicciones_Hugo!$H39=Realidad!$H39,1,0)</f>
        <v/>
      </c>
      <c r="F39" s="15">
        <f>B39+C39+D39+E39</f>
        <v/>
      </c>
      <c r="G39" s="14">
        <f>IF(Predicciones_Oscar!$E39=Realidad!$E39,1,0)</f>
        <v/>
      </c>
      <c r="H39" s="14">
        <f>IF(Predicciones_Oscar!$F39=Realidad!$F39,1,0)</f>
        <v/>
      </c>
      <c r="I39" s="14">
        <f>IF(Predicciones_Oscar!$G39=Realidad!$G39,1,0)</f>
        <v/>
      </c>
      <c r="J39" s="14">
        <f>IF(Predicciones_Oscar!$H39=Realidad!$H39,1,0)</f>
        <v/>
      </c>
      <c r="K39" s="15">
        <f>G39+H39+I39+J39</f>
        <v/>
      </c>
      <c r="L39" s="14">
        <f>IF(Predicciones_Camilo!$E39=Realidad!$E39,1,0)</f>
        <v/>
      </c>
      <c r="M39" s="14">
        <f>IF(Predicciones_Camilo!$F39=Realidad!$F39,1,0)</f>
        <v/>
      </c>
      <c r="N39" s="14">
        <f>IF(Predicciones_Camilo!$G39=Realidad!$G39,1,0)</f>
        <v/>
      </c>
      <c r="O39" s="14">
        <f>IF(Predicciones_Camilo!$H39=Realidad!$H39,1,0)</f>
        <v/>
      </c>
      <c r="P39" s="15">
        <f>L39+M39+N39+O39</f>
        <v/>
      </c>
    </row>
    <row r="40">
      <c r="A40" s="34" t="n">
        <v>39</v>
      </c>
      <c r="B40" s="14">
        <f>IF(Predicciones_Hugo!$E40=Realidad!$E40,1,0)</f>
        <v/>
      </c>
      <c r="C40" s="14">
        <f>IF(Predicciones_Hugo!$F40=Realidad!$F40,1,0)</f>
        <v/>
      </c>
      <c r="D40" s="14">
        <f>IF(Predicciones_Hugo!$G40=Realidad!$G40,1,0)</f>
        <v/>
      </c>
      <c r="E40" s="14">
        <f>IF(Predicciones_Hugo!$H40=Realidad!$H40,1,0)</f>
        <v/>
      </c>
      <c r="F40" s="15">
        <f>B40+C40+D40+E40</f>
        <v/>
      </c>
      <c r="G40" s="14">
        <f>IF(Predicciones_Oscar!$E40=Realidad!$E40,1,0)</f>
        <v/>
      </c>
      <c r="H40" s="14">
        <f>IF(Predicciones_Oscar!$F40=Realidad!$F40,1,0)</f>
        <v/>
      </c>
      <c r="I40" s="14">
        <f>IF(Predicciones_Oscar!$G40=Realidad!$G40,1,0)</f>
        <v/>
      </c>
      <c r="J40" s="14">
        <f>IF(Predicciones_Oscar!$H40=Realidad!$H40,1,0)</f>
        <v/>
      </c>
      <c r="K40" s="15">
        <f>G40+H40+I40+J40</f>
        <v/>
      </c>
      <c r="L40" s="14">
        <f>IF(Predicciones_Camilo!$E40=Realidad!$E40,1,0)</f>
        <v/>
      </c>
      <c r="M40" s="14">
        <f>IF(Predicciones_Camilo!$F40=Realidad!$F40,1,0)</f>
        <v/>
      </c>
      <c r="N40" s="14">
        <f>IF(Predicciones_Camilo!$G40=Realidad!$G40,1,0)</f>
        <v/>
      </c>
      <c r="O40" s="14">
        <f>IF(Predicciones_Camilo!$H40=Realidad!$H40,1,0)</f>
        <v/>
      </c>
      <c r="P40" s="15">
        <f>L40+M40+N40+O40</f>
        <v/>
      </c>
    </row>
    <row r="41">
      <c r="A41" s="34" t="n">
        <v>40</v>
      </c>
      <c r="B41" s="14">
        <f>IF(Predicciones_Hugo!$E41=Realidad!$E41,1,0)</f>
        <v/>
      </c>
      <c r="C41" s="14">
        <f>IF(Predicciones_Hugo!$F41=Realidad!$F41,1,0)</f>
        <v/>
      </c>
      <c r="D41" s="14">
        <f>IF(Predicciones_Hugo!$G41=Realidad!$G41,1,0)</f>
        <v/>
      </c>
      <c r="E41" s="14">
        <f>IF(Predicciones_Hugo!$H41=Realidad!$H41,1,0)</f>
        <v/>
      </c>
      <c r="F41" s="15">
        <f>B41+C41+D41+E41</f>
        <v/>
      </c>
      <c r="G41" s="14">
        <f>IF(Predicciones_Oscar!$E41=Realidad!$E41,1,0)</f>
        <v/>
      </c>
      <c r="H41" s="14">
        <f>IF(Predicciones_Oscar!$F41=Realidad!$F41,1,0)</f>
        <v/>
      </c>
      <c r="I41" s="14">
        <f>IF(Predicciones_Oscar!$G41=Realidad!$G41,1,0)</f>
        <v/>
      </c>
      <c r="J41" s="14">
        <f>IF(Predicciones_Oscar!$H41=Realidad!$H41,1,0)</f>
        <v/>
      </c>
      <c r="K41" s="15">
        <f>G41+H41+I41+J41</f>
        <v/>
      </c>
      <c r="L41" s="14">
        <f>IF(Predicciones_Camilo!$E41=Realidad!$E41,1,0)</f>
        <v/>
      </c>
      <c r="M41" s="14">
        <f>IF(Predicciones_Camilo!$F41=Realidad!$F41,1,0)</f>
        <v/>
      </c>
      <c r="N41" s="14">
        <f>IF(Predicciones_Camilo!$G41=Realidad!$G41,1,0)</f>
        <v/>
      </c>
      <c r="O41" s="14">
        <f>IF(Predicciones_Camilo!$H41=Realidad!$H41,1,0)</f>
        <v/>
      </c>
      <c r="P41" s="15">
        <f>L41+M41+N41+O41</f>
        <v/>
      </c>
    </row>
    <row r="42">
      <c r="A42" s="34" t="n">
        <v>41</v>
      </c>
      <c r="B42" s="14">
        <f>IF(Predicciones_Hugo!$E42=Realidad!$E42,1,0)</f>
        <v/>
      </c>
      <c r="C42" s="14">
        <f>IF(Predicciones_Hugo!$F42=Realidad!$F42,1,0)</f>
        <v/>
      </c>
      <c r="D42" s="14">
        <f>IF(Predicciones_Hugo!$G42=Realidad!$G42,1,0)</f>
        <v/>
      </c>
      <c r="E42" s="14">
        <f>IF(Predicciones_Hugo!$H42=Realidad!$H42,1,0)</f>
        <v/>
      </c>
      <c r="F42" s="15">
        <f>B42+C42+D42+E42</f>
        <v/>
      </c>
      <c r="G42" s="14">
        <f>IF(Predicciones_Oscar!$E42=Realidad!$E42,1,0)</f>
        <v/>
      </c>
      <c r="H42" s="14">
        <f>IF(Predicciones_Oscar!$F42=Realidad!$F42,1,0)</f>
        <v/>
      </c>
      <c r="I42" s="14">
        <f>IF(Predicciones_Oscar!$G42=Realidad!$G42,1,0)</f>
        <v/>
      </c>
      <c r="J42" s="14">
        <f>IF(Predicciones_Oscar!$H42=Realidad!$H42,1,0)</f>
        <v/>
      </c>
      <c r="K42" s="15">
        <f>G42+H42+I42+J42</f>
        <v/>
      </c>
      <c r="L42" s="14">
        <f>IF(Predicciones_Camilo!$E42=Realidad!$E42,1,0)</f>
        <v/>
      </c>
      <c r="M42" s="14">
        <f>IF(Predicciones_Camilo!$F42=Realidad!$F42,1,0)</f>
        <v/>
      </c>
      <c r="N42" s="14">
        <f>IF(Predicciones_Camilo!$G42=Realidad!$G42,1,0)</f>
        <v/>
      </c>
      <c r="O42" s="14">
        <f>IF(Predicciones_Camilo!$H42=Realidad!$H42,1,0)</f>
        <v/>
      </c>
      <c r="P42" s="15">
        <f>L42+M42+N42+O42</f>
        <v/>
      </c>
    </row>
    <row r="43">
      <c r="A43" s="34" t="n">
        <v>42</v>
      </c>
      <c r="B43" s="14">
        <f>IF(Predicciones_Hugo!$E43=Realidad!$E43,1,0)</f>
        <v/>
      </c>
      <c r="C43" s="14">
        <f>IF(Predicciones_Hugo!$F43=Realidad!$F43,1,0)</f>
        <v/>
      </c>
      <c r="D43" s="14">
        <f>IF(Predicciones_Hugo!$G43=Realidad!$G43,1,0)</f>
        <v/>
      </c>
      <c r="E43" s="14">
        <f>IF(Predicciones_Hugo!$H43=Realidad!$H43,1,0)</f>
        <v/>
      </c>
      <c r="F43" s="15">
        <f>B43+C43+D43+E43</f>
        <v/>
      </c>
      <c r="G43" s="14">
        <f>IF(Predicciones_Oscar!$E43=Realidad!$E43,1,0)</f>
        <v/>
      </c>
      <c r="H43" s="14">
        <f>IF(Predicciones_Oscar!$F43=Realidad!$F43,1,0)</f>
        <v/>
      </c>
      <c r="I43" s="14">
        <f>IF(Predicciones_Oscar!$G43=Realidad!$G43,1,0)</f>
        <v/>
      </c>
      <c r="J43" s="14">
        <f>IF(Predicciones_Oscar!$H43=Realidad!$H43,1,0)</f>
        <v/>
      </c>
      <c r="K43" s="15">
        <f>G43+H43+I43+J43</f>
        <v/>
      </c>
      <c r="L43" s="14">
        <f>IF(Predicciones_Camilo!$E43=Realidad!$E43,1,0)</f>
        <v/>
      </c>
      <c r="M43" s="14">
        <f>IF(Predicciones_Camilo!$F43=Realidad!$F43,1,0)</f>
        <v/>
      </c>
      <c r="N43" s="14">
        <f>IF(Predicciones_Camilo!$G43=Realidad!$G43,1,0)</f>
        <v/>
      </c>
      <c r="O43" s="14">
        <f>IF(Predicciones_Camilo!$H43=Realidad!$H43,1,0)</f>
        <v/>
      </c>
      <c r="P43" s="15">
        <f>L43+M43+N43+O43</f>
        <v/>
      </c>
    </row>
    <row r="44">
      <c r="A44" s="34" t="n">
        <v>43</v>
      </c>
      <c r="B44" s="14">
        <f>IF(Predicciones_Hugo!$E44=Realidad!$E44,1,0)</f>
        <v/>
      </c>
      <c r="C44" s="14">
        <f>IF(Predicciones_Hugo!$F44=Realidad!$F44,1,0)</f>
        <v/>
      </c>
      <c r="D44" s="14">
        <f>IF(Predicciones_Hugo!$G44=Realidad!$G44,1,0)</f>
        <v/>
      </c>
      <c r="E44" s="14">
        <f>IF(Predicciones_Hugo!$H44=Realidad!$H44,1,0)</f>
        <v/>
      </c>
      <c r="F44" s="15">
        <f>B44+C44+D44+E44</f>
        <v/>
      </c>
      <c r="G44" s="14">
        <f>IF(Predicciones_Oscar!$E44=Realidad!$E44,1,0)</f>
        <v/>
      </c>
      <c r="H44" s="14">
        <f>IF(Predicciones_Oscar!$F44=Realidad!$F44,1,0)</f>
        <v/>
      </c>
      <c r="I44" s="14">
        <f>IF(Predicciones_Oscar!$G44=Realidad!$G44,1,0)</f>
        <v/>
      </c>
      <c r="J44" s="14">
        <f>IF(Predicciones_Oscar!$H44=Realidad!$H44,1,0)</f>
        <v/>
      </c>
      <c r="K44" s="15">
        <f>G44+H44+I44+J44</f>
        <v/>
      </c>
      <c r="L44" s="14">
        <f>IF(Predicciones_Camilo!$E44=Realidad!$E44,1,0)</f>
        <v/>
      </c>
      <c r="M44" s="14">
        <f>IF(Predicciones_Camilo!$F44=Realidad!$F44,1,0)</f>
        <v/>
      </c>
      <c r="N44" s="14">
        <f>IF(Predicciones_Camilo!$G44=Realidad!$G44,1,0)</f>
        <v/>
      </c>
      <c r="O44" s="14">
        <f>IF(Predicciones_Camilo!$H44=Realidad!$H44,1,0)</f>
        <v/>
      </c>
      <c r="P44" s="15">
        <f>L44+M44+N44+O44</f>
        <v/>
      </c>
    </row>
    <row r="45">
      <c r="A45" s="34" t="n">
        <v>44</v>
      </c>
      <c r="B45" s="14">
        <f>IF(Predicciones_Hugo!$E45=Realidad!$E45,1,0)</f>
        <v/>
      </c>
      <c r="C45" s="14">
        <f>IF(Predicciones_Hugo!$F45=Realidad!$F45,1,0)</f>
        <v/>
      </c>
      <c r="D45" s="14">
        <f>IF(Predicciones_Hugo!$G45=Realidad!$G45,1,0)</f>
        <v/>
      </c>
      <c r="E45" s="14">
        <f>IF(Predicciones_Hugo!$H45=Realidad!$H45,1,0)</f>
        <v/>
      </c>
      <c r="F45" s="15">
        <f>B45+C45+D45+E45</f>
        <v/>
      </c>
      <c r="G45" s="14">
        <f>IF(Predicciones_Oscar!$E45=Realidad!$E45,1,0)</f>
        <v/>
      </c>
      <c r="H45" s="14">
        <f>IF(Predicciones_Oscar!$F45=Realidad!$F45,1,0)</f>
        <v/>
      </c>
      <c r="I45" s="14">
        <f>IF(Predicciones_Oscar!$G45=Realidad!$G45,1,0)</f>
        <v/>
      </c>
      <c r="J45" s="14">
        <f>IF(Predicciones_Oscar!$H45=Realidad!$H45,1,0)</f>
        <v/>
      </c>
      <c r="K45" s="15">
        <f>G45+H45+I45+J45</f>
        <v/>
      </c>
      <c r="L45" s="14">
        <f>IF(Predicciones_Camilo!$E45=Realidad!$E45,1,0)</f>
        <v/>
      </c>
      <c r="M45" s="14">
        <f>IF(Predicciones_Camilo!$F45=Realidad!$F45,1,0)</f>
        <v/>
      </c>
      <c r="N45" s="14">
        <f>IF(Predicciones_Camilo!$G45=Realidad!$G45,1,0)</f>
        <v/>
      </c>
      <c r="O45" s="14">
        <f>IF(Predicciones_Camilo!$H45=Realidad!$H45,1,0)</f>
        <v/>
      </c>
      <c r="P45" s="15">
        <f>L45+M45+N45+O45</f>
        <v/>
      </c>
    </row>
    <row r="46">
      <c r="A46" s="34" t="n">
        <v>45</v>
      </c>
      <c r="B46" s="14">
        <f>IF(Predicciones_Hugo!$E46=Realidad!$E46,1,0)</f>
        <v/>
      </c>
      <c r="C46" s="14">
        <f>IF(Predicciones_Hugo!$F46=Realidad!$F46,1,0)</f>
        <v/>
      </c>
      <c r="D46" s="14">
        <f>IF(Predicciones_Hugo!$G46=Realidad!$G46,1,0)</f>
        <v/>
      </c>
      <c r="E46" s="14">
        <f>IF(Predicciones_Hugo!$H46=Realidad!$H46,1,0)</f>
        <v/>
      </c>
      <c r="F46" s="15">
        <f>B46+C46+D46+E46</f>
        <v/>
      </c>
      <c r="G46" s="14">
        <f>IF(Predicciones_Oscar!$E46=Realidad!$E46,1,0)</f>
        <v/>
      </c>
      <c r="H46" s="14">
        <f>IF(Predicciones_Oscar!$F46=Realidad!$F46,1,0)</f>
        <v/>
      </c>
      <c r="I46" s="14">
        <f>IF(Predicciones_Oscar!$G46=Realidad!$G46,1,0)</f>
        <v/>
      </c>
      <c r="J46" s="14">
        <f>IF(Predicciones_Oscar!$H46=Realidad!$H46,1,0)</f>
        <v/>
      </c>
      <c r="K46" s="15">
        <f>G46+H46+I46+J46</f>
        <v/>
      </c>
      <c r="L46" s="14">
        <f>IF(Predicciones_Camilo!$E46=Realidad!$E46,1,0)</f>
        <v/>
      </c>
      <c r="M46" s="14">
        <f>IF(Predicciones_Camilo!$F46=Realidad!$F46,1,0)</f>
        <v/>
      </c>
      <c r="N46" s="14">
        <f>IF(Predicciones_Camilo!$G46=Realidad!$G46,1,0)</f>
        <v/>
      </c>
      <c r="O46" s="14">
        <f>IF(Predicciones_Camilo!$H46=Realidad!$H46,1,0)</f>
        <v/>
      </c>
      <c r="P46" s="15">
        <f>L46+M46+N46+O46</f>
        <v/>
      </c>
    </row>
    <row r="47">
      <c r="A47" s="34" t="n">
        <v>46</v>
      </c>
      <c r="B47" s="14">
        <f>IF(Predicciones_Hugo!$E47=Realidad!$E47,1,0)</f>
        <v/>
      </c>
      <c r="C47" s="14">
        <f>IF(Predicciones_Hugo!$F47=Realidad!$F47,1,0)</f>
        <v/>
      </c>
      <c r="D47" s="14">
        <f>IF(Predicciones_Hugo!$G47=Realidad!$G47,1,0)</f>
        <v/>
      </c>
      <c r="E47" s="14">
        <f>IF(Predicciones_Hugo!$H47=Realidad!$H47,1,0)</f>
        <v/>
      </c>
      <c r="F47" s="15">
        <f>B47+C47+D47+E47</f>
        <v/>
      </c>
      <c r="G47" s="14">
        <f>IF(Predicciones_Oscar!$E47=Realidad!$E47,1,0)</f>
        <v/>
      </c>
      <c r="H47" s="14">
        <f>IF(Predicciones_Oscar!$F47=Realidad!$F47,1,0)</f>
        <v/>
      </c>
      <c r="I47" s="14">
        <f>IF(Predicciones_Oscar!$G47=Realidad!$G47,1,0)</f>
        <v/>
      </c>
      <c r="J47" s="14">
        <f>IF(Predicciones_Oscar!$H47=Realidad!$H47,1,0)</f>
        <v/>
      </c>
      <c r="K47" s="15">
        <f>G47+H47+I47+J47</f>
        <v/>
      </c>
      <c r="L47" s="14">
        <f>IF(Predicciones_Camilo!$E47=Realidad!$E47,1,0)</f>
        <v/>
      </c>
      <c r="M47" s="14">
        <f>IF(Predicciones_Camilo!$F47=Realidad!$F47,1,0)</f>
        <v/>
      </c>
      <c r="N47" s="14">
        <f>IF(Predicciones_Camilo!$G47=Realidad!$G47,1,0)</f>
        <v/>
      </c>
      <c r="O47" s="14">
        <f>IF(Predicciones_Camilo!$H47=Realidad!$H47,1,0)</f>
        <v/>
      </c>
      <c r="P47" s="15">
        <f>L47+M47+N47+O47</f>
        <v/>
      </c>
    </row>
    <row r="48">
      <c r="A48" s="34" t="n">
        <v>47</v>
      </c>
      <c r="B48" s="14">
        <f>IF(Predicciones_Hugo!$E48=Realidad!$E48,1,0)</f>
        <v/>
      </c>
      <c r="C48" s="14">
        <f>IF(Predicciones_Hugo!$F48=Realidad!$F48,1,0)</f>
        <v/>
      </c>
      <c r="D48" s="14">
        <f>IF(Predicciones_Hugo!$G48=Realidad!$G48,1,0)</f>
        <v/>
      </c>
      <c r="E48" s="14">
        <f>IF(Predicciones_Hugo!$H48=Realidad!$H48,1,0)</f>
        <v/>
      </c>
      <c r="F48" s="15">
        <f>B48+C48+D48+E48</f>
        <v/>
      </c>
      <c r="G48" s="14">
        <f>IF(Predicciones_Oscar!$E48=Realidad!$E48,1,0)</f>
        <v/>
      </c>
      <c r="H48" s="14">
        <f>IF(Predicciones_Oscar!$F48=Realidad!$F48,1,0)</f>
        <v/>
      </c>
      <c r="I48" s="14">
        <f>IF(Predicciones_Oscar!$G48=Realidad!$G48,1,0)</f>
        <v/>
      </c>
      <c r="J48" s="14">
        <f>IF(Predicciones_Oscar!$H48=Realidad!$H48,1,0)</f>
        <v/>
      </c>
      <c r="K48" s="15">
        <f>G48+H48+I48+J48</f>
        <v/>
      </c>
      <c r="L48" s="14">
        <f>IF(Predicciones_Camilo!$E48=Realidad!$E48,1,0)</f>
        <v/>
      </c>
      <c r="M48" s="14">
        <f>IF(Predicciones_Camilo!$F48=Realidad!$F48,1,0)</f>
        <v/>
      </c>
      <c r="N48" s="14">
        <f>IF(Predicciones_Camilo!$G48=Realidad!$G48,1,0)</f>
        <v/>
      </c>
      <c r="O48" s="14">
        <f>IF(Predicciones_Camilo!$H48=Realidad!$H48,1,0)</f>
        <v/>
      </c>
      <c r="P48" s="15">
        <f>L48+M48+N48+O48</f>
        <v/>
      </c>
    </row>
    <row r="49">
      <c r="A49" s="34" t="n">
        <v>48</v>
      </c>
      <c r="B49" s="14">
        <f>IF(Predicciones_Hugo!$E49=Realidad!$E49,1,0)</f>
        <v/>
      </c>
      <c r="C49" s="14">
        <f>IF(Predicciones_Hugo!$F49=Realidad!$F49,1,0)</f>
        <v/>
      </c>
      <c r="D49" s="14">
        <f>IF(Predicciones_Hugo!$G49=Realidad!$G49,1,0)</f>
        <v/>
      </c>
      <c r="E49" s="14">
        <f>IF(Predicciones_Hugo!$H49=Realidad!$H49,1,0)</f>
        <v/>
      </c>
      <c r="F49" s="15">
        <f>B49+C49+D49+E49</f>
        <v/>
      </c>
      <c r="G49" s="14">
        <f>IF(Predicciones_Oscar!$E49=Realidad!$E49,1,0)</f>
        <v/>
      </c>
      <c r="H49" s="14">
        <f>IF(Predicciones_Oscar!$F49=Realidad!$F49,1,0)</f>
        <v/>
      </c>
      <c r="I49" s="14">
        <f>IF(Predicciones_Oscar!$G49=Realidad!$G49,1,0)</f>
        <v/>
      </c>
      <c r="J49" s="14">
        <f>IF(Predicciones_Oscar!$H49=Realidad!$H49,1,0)</f>
        <v/>
      </c>
      <c r="K49" s="15">
        <f>G49+H49+I49+J49</f>
        <v/>
      </c>
      <c r="L49" s="14">
        <f>IF(Predicciones_Camilo!$E49=Realidad!$E49,1,0)</f>
        <v/>
      </c>
      <c r="M49" s="14">
        <f>IF(Predicciones_Camilo!$F49=Realidad!$F49,1,0)</f>
        <v/>
      </c>
      <c r="N49" s="14">
        <f>IF(Predicciones_Camilo!$G49=Realidad!$G49,1,0)</f>
        <v/>
      </c>
      <c r="O49" s="14">
        <f>IF(Predicciones_Camilo!$H49=Realidad!$H49,1,0)</f>
        <v/>
      </c>
      <c r="P49" s="15">
        <f>L49+M49+N49+O49</f>
        <v/>
      </c>
    </row>
    <row r="50">
      <c r="A50" s="34" t="n">
        <v>49</v>
      </c>
      <c r="B50" s="14">
        <f>IF(Predicciones_Hugo!$E50=Realidad!$E50,1,0)</f>
        <v/>
      </c>
      <c r="C50" s="14">
        <f>IF(Predicciones_Hugo!$F50=Realidad!$F50,1,0)</f>
        <v/>
      </c>
      <c r="D50" s="14">
        <f>IF(Predicciones_Hugo!$G50=Realidad!$G50,1,0)</f>
        <v/>
      </c>
      <c r="E50" s="14">
        <f>IF(Predicciones_Hugo!$H50=Realidad!$H50,1,0)</f>
        <v/>
      </c>
      <c r="F50" s="15">
        <f>B50+C50+D50+E50</f>
        <v/>
      </c>
      <c r="G50" s="14">
        <f>IF(Predicciones_Oscar!$E50=Realidad!$E50,1,0)</f>
        <v/>
      </c>
      <c r="H50" s="14">
        <f>IF(Predicciones_Oscar!$F50=Realidad!$F50,1,0)</f>
        <v/>
      </c>
      <c r="I50" s="14">
        <f>IF(Predicciones_Oscar!$G50=Realidad!$G50,1,0)</f>
        <v/>
      </c>
      <c r="J50" s="14">
        <f>IF(Predicciones_Oscar!$H50=Realidad!$H50,1,0)</f>
        <v/>
      </c>
      <c r="K50" s="15">
        <f>G50+H50+I50+J50</f>
        <v/>
      </c>
      <c r="L50" s="14">
        <f>IF(Predicciones_Camilo!$E50=Realidad!$E50,1,0)</f>
        <v/>
      </c>
      <c r="M50" s="14">
        <f>IF(Predicciones_Camilo!$F50=Realidad!$F50,1,0)</f>
        <v/>
      </c>
      <c r="N50" s="14">
        <f>IF(Predicciones_Camilo!$G50=Realidad!$G50,1,0)</f>
        <v/>
      </c>
      <c r="O50" s="14">
        <f>IF(Predicciones_Camilo!$H50=Realidad!$H50,1,0)</f>
        <v/>
      </c>
      <c r="P50" s="15">
        <f>L50+M50+N50+O50</f>
        <v/>
      </c>
    </row>
    <row r="51">
      <c r="A51" s="34" t="n">
        <v>50</v>
      </c>
      <c r="B51" s="14">
        <f>IF(Predicciones_Hugo!$E51=Realidad!$E51,1,0)</f>
        <v/>
      </c>
      <c r="C51" s="14">
        <f>IF(Predicciones_Hugo!$F51=Realidad!$F51,1,0)</f>
        <v/>
      </c>
      <c r="D51" s="14">
        <f>IF(Predicciones_Hugo!$G51=Realidad!$G51,1,0)</f>
        <v/>
      </c>
      <c r="E51" s="14">
        <f>IF(Predicciones_Hugo!$H51=Realidad!$H51,1,0)</f>
        <v/>
      </c>
      <c r="F51" s="15">
        <f>B51+C51+D51+E51</f>
        <v/>
      </c>
      <c r="G51" s="14">
        <f>IF(Predicciones_Oscar!$E51=Realidad!$E51,1,0)</f>
        <v/>
      </c>
      <c r="H51" s="14">
        <f>IF(Predicciones_Oscar!$F51=Realidad!$F51,1,0)</f>
        <v/>
      </c>
      <c r="I51" s="14">
        <f>IF(Predicciones_Oscar!$G51=Realidad!$G51,1,0)</f>
        <v/>
      </c>
      <c r="J51" s="14">
        <f>IF(Predicciones_Oscar!$H51=Realidad!$H51,1,0)</f>
        <v/>
      </c>
      <c r="K51" s="15">
        <f>G51+H51+I51+J51</f>
        <v/>
      </c>
      <c r="L51" s="14">
        <f>IF(Predicciones_Camilo!$E51=Realidad!$E51,1,0)</f>
        <v/>
      </c>
      <c r="M51" s="14">
        <f>IF(Predicciones_Camilo!$F51=Realidad!$F51,1,0)</f>
        <v/>
      </c>
      <c r="N51" s="14">
        <f>IF(Predicciones_Camilo!$G51=Realidad!$G51,1,0)</f>
        <v/>
      </c>
      <c r="O51" s="14">
        <f>IF(Predicciones_Camilo!$H51=Realidad!$H51,1,0)</f>
        <v/>
      </c>
      <c r="P51" s="15">
        <f>L51+M51+N51+O51</f>
        <v/>
      </c>
    </row>
    <row r="52">
      <c r="A52" s="34" t="n">
        <v>51</v>
      </c>
      <c r="B52" s="14">
        <f>IF(Predicciones_Hugo!$E52=Realidad!$E52,1,0)</f>
        <v/>
      </c>
      <c r="C52" s="14">
        <f>IF(Predicciones_Hugo!$F52=Realidad!$F52,1,0)</f>
        <v/>
      </c>
      <c r="D52" s="14">
        <f>IF(Predicciones_Hugo!$G52=Realidad!$G52,1,0)</f>
        <v/>
      </c>
      <c r="E52" s="14">
        <f>IF(Predicciones_Hugo!$H52=Realidad!$H52,1,0)</f>
        <v/>
      </c>
      <c r="F52" s="15">
        <f>B52+C52+D52+E52</f>
        <v/>
      </c>
      <c r="G52" s="14">
        <f>IF(Predicciones_Oscar!$E52=Realidad!$E52,1,0)</f>
        <v/>
      </c>
      <c r="H52" s="14">
        <f>IF(Predicciones_Oscar!$F52=Realidad!$F52,1,0)</f>
        <v/>
      </c>
      <c r="I52" s="14">
        <f>IF(Predicciones_Oscar!$G52=Realidad!$G52,1,0)</f>
        <v/>
      </c>
      <c r="J52" s="14">
        <f>IF(Predicciones_Oscar!$H52=Realidad!$H52,1,0)</f>
        <v/>
      </c>
      <c r="K52" s="15">
        <f>G52+H52+I52+J52</f>
        <v/>
      </c>
      <c r="L52" s="14">
        <f>IF(Predicciones_Camilo!$E52=Realidad!$E52,1,0)</f>
        <v/>
      </c>
      <c r="M52" s="14">
        <f>IF(Predicciones_Camilo!$F52=Realidad!$F52,1,0)</f>
        <v/>
      </c>
      <c r="N52" s="14">
        <f>IF(Predicciones_Camilo!$G52=Realidad!$G52,1,0)</f>
        <v/>
      </c>
      <c r="O52" s="14">
        <f>IF(Predicciones_Camilo!$H52=Realidad!$H52,1,0)</f>
        <v/>
      </c>
      <c r="P52" s="15">
        <f>L52+M52+N52+O52</f>
        <v/>
      </c>
    </row>
    <row r="53">
      <c r="A53" s="34" t="n">
        <v>52</v>
      </c>
      <c r="B53" s="14">
        <f>IF(Predicciones_Hugo!$E53=Realidad!$E53,1,0)</f>
        <v/>
      </c>
      <c r="C53" s="14">
        <f>IF(Predicciones_Hugo!$F53=Realidad!$F53,1,0)</f>
        <v/>
      </c>
      <c r="D53" s="14">
        <f>IF(Predicciones_Hugo!$G53=Realidad!$G53,1,0)</f>
        <v/>
      </c>
      <c r="E53" s="14">
        <f>IF(Predicciones_Hugo!$H53=Realidad!$H53,1,0)</f>
        <v/>
      </c>
      <c r="F53" s="15">
        <f>B53+C53+D53+E53</f>
        <v/>
      </c>
      <c r="G53" s="14">
        <f>IF(Predicciones_Oscar!$E53=Realidad!$E53,1,0)</f>
        <v/>
      </c>
      <c r="H53" s="14">
        <f>IF(Predicciones_Oscar!$F53=Realidad!$F53,1,0)</f>
        <v/>
      </c>
      <c r="I53" s="14">
        <f>IF(Predicciones_Oscar!$G53=Realidad!$G53,1,0)</f>
        <v/>
      </c>
      <c r="J53" s="14">
        <f>IF(Predicciones_Oscar!$H53=Realidad!$H53,1,0)</f>
        <v/>
      </c>
      <c r="K53" s="15">
        <f>G53+H53+I53+J53</f>
        <v/>
      </c>
      <c r="L53" s="14">
        <f>IF(Predicciones_Camilo!$E53=Realidad!$E53,1,0)</f>
        <v/>
      </c>
      <c r="M53" s="14">
        <f>IF(Predicciones_Camilo!$F53=Realidad!$F53,1,0)</f>
        <v/>
      </c>
      <c r="N53" s="14">
        <f>IF(Predicciones_Camilo!$G53=Realidad!$G53,1,0)</f>
        <v/>
      </c>
      <c r="O53" s="14">
        <f>IF(Predicciones_Camilo!$H53=Realidad!$H53,1,0)</f>
        <v/>
      </c>
      <c r="P53" s="15">
        <f>L53+M53+N53+O53</f>
        <v/>
      </c>
    </row>
    <row r="54">
      <c r="A54" s="34" t="n">
        <v>53</v>
      </c>
      <c r="B54" s="14">
        <f>IF(Predicciones_Hugo!$E54=Realidad!$E54,1,0)</f>
        <v/>
      </c>
      <c r="C54" s="14">
        <f>IF(Predicciones_Hugo!$F54=Realidad!$F54,1,0)</f>
        <v/>
      </c>
      <c r="D54" s="14">
        <f>IF(Predicciones_Hugo!$G54=Realidad!$G54,1,0)</f>
        <v/>
      </c>
      <c r="E54" s="14">
        <f>IF(Predicciones_Hugo!$H54=Realidad!$H54,1,0)</f>
        <v/>
      </c>
      <c r="F54" s="15">
        <f>B54+C54+D54+E54</f>
        <v/>
      </c>
      <c r="G54" s="14">
        <f>IF(Predicciones_Oscar!$E54=Realidad!$E54,1,0)</f>
        <v/>
      </c>
      <c r="H54" s="14">
        <f>IF(Predicciones_Oscar!$F54=Realidad!$F54,1,0)</f>
        <v/>
      </c>
      <c r="I54" s="14">
        <f>IF(Predicciones_Oscar!$G54=Realidad!$G54,1,0)</f>
        <v/>
      </c>
      <c r="J54" s="14">
        <f>IF(Predicciones_Oscar!$H54=Realidad!$H54,1,0)</f>
        <v/>
      </c>
      <c r="K54" s="15">
        <f>G54+H54+I54+J54</f>
        <v/>
      </c>
      <c r="L54" s="14">
        <f>IF(Predicciones_Camilo!$E54=Realidad!$E54,1,0)</f>
        <v/>
      </c>
      <c r="M54" s="14">
        <f>IF(Predicciones_Camilo!$F54=Realidad!$F54,1,0)</f>
        <v/>
      </c>
      <c r="N54" s="14">
        <f>IF(Predicciones_Camilo!$G54=Realidad!$G54,1,0)</f>
        <v/>
      </c>
      <c r="O54" s="14">
        <f>IF(Predicciones_Camilo!$H54=Realidad!$H54,1,0)</f>
        <v/>
      </c>
      <c r="P54" s="15">
        <f>L54+M54+N54+O54</f>
        <v/>
      </c>
    </row>
    <row r="55">
      <c r="A55" s="34" t="n">
        <v>54</v>
      </c>
      <c r="B55" s="14">
        <f>IF(Predicciones_Hugo!$E55=Realidad!$E55,1,0)</f>
        <v/>
      </c>
      <c r="C55" s="14">
        <f>IF(Predicciones_Hugo!$F55=Realidad!$F55,1,0)</f>
        <v/>
      </c>
      <c r="D55" s="14">
        <f>IF(Predicciones_Hugo!$G55=Realidad!$G55,1,0)</f>
        <v/>
      </c>
      <c r="E55" s="14">
        <f>IF(Predicciones_Hugo!$H55=Realidad!$H55,1,0)</f>
        <v/>
      </c>
      <c r="F55" s="15">
        <f>B55+C55+D55+E55</f>
        <v/>
      </c>
      <c r="G55" s="14">
        <f>IF(Predicciones_Oscar!$E55=Realidad!$E55,1,0)</f>
        <v/>
      </c>
      <c r="H55" s="14">
        <f>IF(Predicciones_Oscar!$F55=Realidad!$F55,1,0)</f>
        <v/>
      </c>
      <c r="I55" s="14">
        <f>IF(Predicciones_Oscar!$G55=Realidad!$G55,1,0)</f>
        <v/>
      </c>
      <c r="J55" s="14">
        <f>IF(Predicciones_Oscar!$H55=Realidad!$H55,1,0)</f>
        <v/>
      </c>
      <c r="K55" s="15">
        <f>G55+H55+I55+J55</f>
        <v/>
      </c>
      <c r="L55" s="14">
        <f>IF(Predicciones_Camilo!$E55=Realidad!$E55,1,0)</f>
        <v/>
      </c>
      <c r="M55" s="14">
        <f>IF(Predicciones_Camilo!$F55=Realidad!$F55,1,0)</f>
        <v/>
      </c>
      <c r="N55" s="14">
        <f>IF(Predicciones_Camilo!$G55=Realidad!$G55,1,0)</f>
        <v/>
      </c>
      <c r="O55" s="14">
        <f>IF(Predicciones_Camilo!$H55=Realidad!$H55,1,0)</f>
        <v/>
      </c>
      <c r="P55" s="15">
        <f>L55+M55+N55+O55</f>
        <v/>
      </c>
    </row>
    <row r="56">
      <c r="A56" s="34" t="n">
        <v>55</v>
      </c>
      <c r="B56" s="14">
        <f>IF(Predicciones_Hugo!$E56=Realidad!$E56,1,0)</f>
        <v/>
      </c>
      <c r="C56" s="14">
        <f>IF(Predicciones_Hugo!$F56=Realidad!$F56,1,0)</f>
        <v/>
      </c>
      <c r="D56" s="14">
        <f>IF(Predicciones_Hugo!$G56=Realidad!$G56,1,0)</f>
        <v/>
      </c>
      <c r="E56" s="14">
        <f>IF(Predicciones_Hugo!$H56=Realidad!$H56,1,0)</f>
        <v/>
      </c>
      <c r="F56" s="15">
        <f>B56+C56+D56+E56</f>
        <v/>
      </c>
      <c r="G56" s="14">
        <f>IF(Predicciones_Oscar!$E56=Realidad!$E56,1,0)</f>
        <v/>
      </c>
      <c r="H56" s="14">
        <f>IF(Predicciones_Oscar!$F56=Realidad!$F56,1,0)</f>
        <v/>
      </c>
      <c r="I56" s="14">
        <f>IF(Predicciones_Oscar!$G56=Realidad!$G56,1,0)</f>
        <v/>
      </c>
      <c r="J56" s="14">
        <f>IF(Predicciones_Oscar!$H56=Realidad!$H56,1,0)</f>
        <v/>
      </c>
      <c r="K56" s="15">
        <f>G56+H56+I56+J56</f>
        <v/>
      </c>
      <c r="L56" s="14">
        <f>IF(Predicciones_Camilo!$E56=Realidad!$E56,1,0)</f>
        <v/>
      </c>
      <c r="M56" s="14">
        <f>IF(Predicciones_Camilo!$F56=Realidad!$F56,1,0)</f>
        <v/>
      </c>
      <c r="N56" s="14">
        <f>IF(Predicciones_Camilo!$G56=Realidad!$G56,1,0)</f>
        <v/>
      </c>
      <c r="O56" s="14">
        <f>IF(Predicciones_Camilo!$H56=Realidad!$H56,1,0)</f>
        <v/>
      </c>
      <c r="P56" s="15">
        <f>L56+M56+N56+O56</f>
        <v/>
      </c>
    </row>
    <row r="57">
      <c r="A57" s="34" t="n">
        <v>56</v>
      </c>
      <c r="B57" s="14">
        <f>IF(Predicciones_Hugo!$E57=Realidad!$E57,1,0)</f>
        <v/>
      </c>
      <c r="C57" s="14">
        <f>IF(Predicciones_Hugo!$F57=Realidad!$F57,1,0)</f>
        <v/>
      </c>
      <c r="D57" s="14">
        <f>IF(Predicciones_Hugo!$G57=Realidad!$G57,1,0)</f>
        <v/>
      </c>
      <c r="E57" s="14">
        <f>IF(Predicciones_Hugo!$H57=Realidad!$H57,1,0)</f>
        <v/>
      </c>
      <c r="F57" s="15">
        <f>B57+C57+D57+E57</f>
        <v/>
      </c>
      <c r="G57" s="14">
        <f>IF(Predicciones_Oscar!$E57=Realidad!$E57,1,0)</f>
        <v/>
      </c>
      <c r="H57" s="14">
        <f>IF(Predicciones_Oscar!$F57=Realidad!$F57,1,0)</f>
        <v/>
      </c>
      <c r="I57" s="14">
        <f>IF(Predicciones_Oscar!$G57=Realidad!$G57,1,0)</f>
        <v/>
      </c>
      <c r="J57" s="14">
        <f>IF(Predicciones_Oscar!$H57=Realidad!$H57,1,0)</f>
        <v/>
      </c>
      <c r="K57" s="15">
        <f>G57+H57+I57+J57</f>
        <v/>
      </c>
      <c r="L57" s="14">
        <f>IF(Predicciones_Camilo!$E57=Realidad!$E57,1,0)</f>
        <v/>
      </c>
      <c r="M57" s="14">
        <f>IF(Predicciones_Camilo!$F57=Realidad!$F57,1,0)</f>
        <v/>
      </c>
      <c r="N57" s="14">
        <f>IF(Predicciones_Camilo!$G57=Realidad!$G57,1,0)</f>
        <v/>
      </c>
      <c r="O57" s="14">
        <f>IF(Predicciones_Camilo!$H57=Realidad!$H57,1,0)</f>
        <v/>
      </c>
      <c r="P57" s="15">
        <f>L57+M57+N57+O57</f>
        <v/>
      </c>
    </row>
    <row r="58">
      <c r="A58" s="34" t="n">
        <v>57</v>
      </c>
      <c r="B58" s="14">
        <f>IF(Predicciones_Hugo!$E58=Realidad!$E58,1,0)</f>
        <v/>
      </c>
      <c r="C58" s="14">
        <f>IF(Predicciones_Hugo!$F58=Realidad!$F58,1,0)</f>
        <v/>
      </c>
      <c r="D58" s="14">
        <f>IF(Predicciones_Hugo!$G58=Realidad!$G58,1,0)</f>
        <v/>
      </c>
      <c r="E58" s="14">
        <f>IF(Predicciones_Hugo!$H58=Realidad!$H58,1,0)</f>
        <v/>
      </c>
      <c r="F58" s="15">
        <f>B58+C58+D58+E58</f>
        <v/>
      </c>
      <c r="G58" s="14">
        <f>IF(Predicciones_Oscar!$E58=Realidad!$E58,1,0)</f>
        <v/>
      </c>
      <c r="H58" s="14">
        <f>IF(Predicciones_Oscar!$F58=Realidad!$F58,1,0)</f>
        <v/>
      </c>
      <c r="I58" s="14">
        <f>IF(Predicciones_Oscar!$G58=Realidad!$G58,1,0)</f>
        <v/>
      </c>
      <c r="J58" s="14">
        <f>IF(Predicciones_Oscar!$H58=Realidad!$H58,1,0)</f>
        <v/>
      </c>
      <c r="K58" s="15">
        <f>G58+H58+I58+J58</f>
        <v/>
      </c>
      <c r="L58" s="14">
        <f>IF(Predicciones_Camilo!$E58=Realidad!$E58,1,0)</f>
        <v/>
      </c>
      <c r="M58" s="14">
        <f>IF(Predicciones_Camilo!$F58=Realidad!$F58,1,0)</f>
        <v/>
      </c>
      <c r="N58" s="14">
        <f>IF(Predicciones_Camilo!$G58=Realidad!$G58,1,0)</f>
        <v/>
      </c>
      <c r="O58" s="14">
        <f>IF(Predicciones_Camilo!$H58=Realidad!$H58,1,0)</f>
        <v/>
      </c>
      <c r="P58" s="15">
        <f>L58+M58+N58+O58</f>
        <v/>
      </c>
    </row>
    <row r="59">
      <c r="A59" s="34" t="n">
        <v>58</v>
      </c>
      <c r="B59" s="14">
        <f>IF(Predicciones_Hugo!$E59=Realidad!$E59,1,0)</f>
        <v/>
      </c>
      <c r="C59" s="14">
        <f>IF(Predicciones_Hugo!$F59=Realidad!$F59,1,0)</f>
        <v/>
      </c>
      <c r="D59" s="14">
        <f>IF(Predicciones_Hugo!$G59=Realidad!$G59,1,0)</f>
        <v/>
      </c>
      <c r="E59" s="14">
        <f>IF(Predicciones_Hugo!$H59=Realidad!$H59,1,0)</f>
        <v/>
      </c>
      <c r="F59" s="15">
        <f>B59+C59+D59+E59</f>
        <v/>
      </c>
      <c r="G59" s="14">
        <f>IF(Predicciones_Oscar!$E59=Realidad!$E59,1,0)</f>
        <v/>
      </c>
      <c r="H59" s="14">
        <f>IF(Predicciones_Oscar!$F59=Realidad!$F59,1,0)</f>
        <v/>
      </c>
      <c r="I59" s="14">
        <f>IF(Predicciones_Oscar!$G59=Realidad!$G59,1,0)</f>
        <v/>
      </c>
      <c r="J59" s="14">
        <f>IF(Predicciones_Oscar!$H59=Realidad!$H59,1,0)</f>
        <v/>
      </c>
      <c r="K59" s="15">
        <f>G59+H59+I59+J59</f>
        <v/>
      </c>
      <c r="L59" s="14">
        <f>IF(Predicciones_Camilo!$E59=Realidad!$E59,1,0)</f>
        <v/>
      </c>
      <c r="M59" s="14">
        <f>IF(Predicciones_Camilo!$F59=Realidad!$F59,1,0)</f>
        <v/>
      </c>
      <c r="N59" s="14">
        <f>IF(Predicciones_Camilo!$G59=Realidad!$G59,1,0)</f>
        <v/>
      </c>
      <c r="O59" s="14">
        <f>IF(Predicciones_Camilo!$H59=Realidad!$H59,1,0)</f>
        <v/>
      </c>
      <c r="P59" s="15">
        <f>L59+M59+N59+O59</f>
        <v/>
      </c>
    </row>
    <row r="60">
      <c r="A60" s="34" t="n">
        <v>59</v>
      </c>
      <c r="B60" s="14">
        <f>IF(Predicciones_Hugo!$E60=Realidad!$E60,1,0)</f>
        <v/>
      </c>
      <c r="C60" s="14">
        <f>IF(Predicciones_Hugo!$F60=Realidad!$F60,1,0)</f>
        <v/>
      </c>
      <c r="D60" s="14">
        <f>IF(Predicciones_Hugo!$G60=Realidad!$G60,1,0)</f>
        <v/>
      </c>
      <c r="E60" s="14">
        <f>IF(Predicciones_Hugo!$H60=Realidad!$H60,1,0)</f>
        <v/>
      </c>
      <c r="F60" s="15">
        <f>B60+C60+D60+E60</f>
        <v/>
      </c>
      <c r="G60" s="14">
        <f>IF(Predicciones_Oscar!$E60=Realidad!$E60,1,0)</f>
        <v/>
      </c>
      <c r="H60" s="14">
        <f>IF(Predicciones_Oscar!$F60=Realidad!$F60,1,0)</f>
        <v/>
      </c>
      <c r="I60" s="14">
        <f>IF(Predicciones_Oscar!$G60=Realidad!$G60,1,0)</f>
        <v/>
      </c>
      <c r="J60" s="14">
        <f>IF(Predicciones_Oscar!$H60=Realidad!$H60,1,0)</f>
        <v/>
      </c>
      <c r="K60" s="15">
        <f>G60+H60+I60+J60</f>
        <v/>
      </c>
      <c r="L60" s="14">
        <f>IF(Predicciones_Camilo!$E60=Realidad!$E60,1,0)</f>
        <v/>
      </c>
      <c r="M60" s="14">
        <f>IF(Predicciones_Camilo!$F60=Realidad!$F60,1,0)</f>
        <v/>
      </c>
      <c r="N60" s="14">
        <f>IF(Predicciones_Camilo!$G60=Realidad!$G60,1,0)</f>
        <v/>
      </c>
      <c r="O60" s="14">
        <f>IF(Predicciones_Camilo!$H60=Realidad!$H60,1,0)</f>
        <v/>
      </c>
      <c r="P60" s="15">
        <f>L60+M60+N60+O60</f>
        <v/>
      </c>
    </row>
    <row r="61">
      <c r="A61" s="34" t="n">
        <v>60</v>
      </c>
      <c r="B61" s="14">
        <f>IF(Predicciones_Hugo!$E61=Realidad!$E61,1,0)</f>
        <v/>
      </c>
      <c r="C61" s="14">
        <f>IF(Predicciones_Hugo!$F61=Realidad!$F61,1,0)</f>
        <v/>
      </c>
      <c r="D61" s="14">
        <f>IF(Predicciones_Hugo!$G61=Realidad!$G61,1,0)</f>
        <v/>
      </c>
      <c r="E61" s="14">
        <f>IF(Predicciones_Hugo!$H61=Realidad!$H61,1,0)</f>
        <v/>
      </c>
      <c r="F61" s="15">
        <f>B61+C61+D61+E61</f>
        <v/>
      </c>
      <c r="G61" s="14">
        <f>IF(Predicciones_Oscar!$E61=Realidad!$E61,1,0)</f>
        <v/>
      </c>
      <c r="H61" s="14">
        <f>IF(Predicciones_Oscar!$F61=Realidad!$F61,1,0)</f>
        <v/>
      </c>
      <c r="I61" s="14">
        <f>IF(Predicciones_Oscar!$G61=Realidad!$G61,1,0)</f>
        <v/>
      </c>
      <c r="J61" s="14">
        <f>IF(Predicciones_Oscar!$H61=Realidad!$H61,1,0)</f>
        <v/>
      </c>
      <c r="K61" s="15">
        <f>G61+H61+I61+J61</f>
        <v/>
      </c>
      <c r="L61" s="14">
        <f>IF(Predicciones_Camilo!$E61=Realidad!$E61,1,0)</f>
        <v/>
      </c>
      <c r="M61" s="14">
        <f>IF(Predicciones_Camilo!$F61=Realidad!$F61,1,0)</f>
        <v/>
      </c>
      <c r="N61" s="14">
        <f>IF(Predicciones_Camilo!$G61=Realidad!$G61,1,0)</f>
        <v/>
      </c>
      <c r="O61" s="14">
        <f>IF(Predicciones_Camilo!$H61=Realidad!$H61,1,0)</f>
        <v/>
      </c>
      <c r="P61" s="15">
        <f>L61+M61+N61+O61</f>
        <v/>
      </c>
    </row>
    <row r="62">
      <c r="A62" s="34" t="n">
        <v>61</v>
      </c>
      <c r="B62" s="14">
        <f>IF(Predicciones_Hugo!$E62=Realidad!$E62,1,0)</f>
        <v/>
      </c>
      <c r="C62" s="14">
        <f>IF(Predicciones_Hugo!$F62=Realidad!$F62,1,0)</f>
        <v/>
      </c>
      <c r="D62" s="14">
        <f>IF(Predicciones_Hugo!$G62=Realidad!$G62,1,0)</f>
        <v/>
      </c>
      <c r="E62" s="14">
        <f>IF(Predicciones_Hugo!$H62=Realidad!$H62,1,0)</f>
        <v/>
      </c>
      <c r="F62" s="15">
        <f>B62+C62+D62+E62</f>
        <v/>
      </c>
      <c r="G62" s="14">
        <f>IF(Predicciones_Oscar!$E62=Realidad!$E62,1,0)</f>
        <v/>
      </c>
      <c r="H62" s="14">
        <f>IF(Predicciones_Oscar!$F62=Realidad!$F62,1,0)</f>
        <v/>
      </c>
      <c r="I62" s="14">
        <f>IF(Predicciones_Oscar!$G62=Realidad!$G62,1,0)</f>
        <v/>
      </c>
      <c r="J62" s="14">
        <f>IF(Predicciones_Oscar!$H62=Realidad!$H62,1,0)</f>
        <v/>
      </c>
      <c r="K62" s="15">
        <f>G62+H62+I62+J62</f>
        <v/>
      </c>
      <c r="L62" s="14">
        <f>IF(Predicciones_Camilo!$E62=Realidad!$E62,1,0)</f>
        <v/>
      </c>
      <c r="M62" s="14">
        <f>IF(Predicciones_Camilo!$F62=Realidad!$F62,1,0)</f>
        <v/>
      </c>
      <c r="N62" s="14">
        <f>IF(Predicciones_Camilo!$G62=Realidad!$G62,1,0)</f>
        <v/>
      </c>
      <c r="O62" s="14">
        <f>IF(Predicciones_Camilo!$H62=Realidad!$H62,1,0)</f>
        <v/>
      </c>
      <c r="P62" s="15">
        <f>L62+M62+N62+O62</f>
        <v/>
      </c>
    </row>
    <row r="63">
      <c r="A63" s="34" t="n">
        <v>62</v>
      </c>
      <c r="B63" s="14">
        <f>IF(Predicciones_Hugo!$E63=Realidad!$E63,1,0)</f>
        <v/>
      </c>
      <c r="C63" s="14">
        <f>IF(Predicciones_Hugo!$F63=Realidad!$F63,1,0)</f>
        <v/>
      </c>
      <c r="D63" s="14">
        <f>IF(Predicciones_Hugo!$G63=Realidad!$G63,1,0)</f>
        <v/>
      </c>
      <c r="E63" s="14">
        <f>IF(Predicciones_Hugo!$H63=Realidad!$H63,1,0)</f>
        <v/>
      </c>
      <c r="F63" s="15">
        <f>B63+C63+D63+E63</f>
        <v/>
      </c>
      <c r="G63" s="14">
        <f>IF(Predicciones_Oscar!$E63=Realidad!$E63,1,0)</f>
        <v/>
      </c>
      <c r="H63" s="14">
        <f>IF(Predicciones_Oscar!$F63=Realidad!$F63,1,0)</f>
        <v/>
      </c>
      <c r="I63" s="14">
        <f>IF(Predicciones_Oscar!$G63=Realidad!$G63,1,0)</f>
        <v/>
      </c>
      <c r="J63" s="14">
        <f>IF(Predicciones_Oscar!$H63=Realidad!$H63,1,0)</f>
        <v/>
      </c>
      <c r="K63" s="15">
        <f>G63+H63+I63+J63</f>
        <v/>
      </c>
      <c r="L63" s="14">
        <f>IF(Predicciones_Camilo!$E63=Realidad!$E63,1,0)</f>
        <v/>
      </c>
      <c r="M63" s="14">
        <f>IF(Predicciones_Camilo!$F63=Realidad!$F63,1,0)</f>
        <v/>
      </c>
      <c r="N63" s="14">
        <f>IF(Predicciones_Camilo!$G63=Realidad!$G63,1,0)</f>
        <v/>
      </c>
      <c r="O63" s="14">
        <f>IF(Predicciones_Camilo!$H63=Realidad!$H63,1,0)</f>
        <v/>
      </c>
      <c r="P63" s="15">
        <f>L63+M63+N63+O63</f>
        <v/>
      </c>
    </row>
    <row r="64">
      <c r="A64" s="34" t="n">
        <v>63</v>
      </c>
      <c r="B64" s="14">
        <f>IF(Predicciones_Hugo!$E64=Realidad!$E64,1,0)</f>
        <v/>
      </c>
      <c r="C64" s="14">
        <f>IF(Predicciones_Hugo!$F64=Realidad!$F64,1,0)</f>
        <v/>
      </c>
      <c r="D64" s="14">
        <f>IF(Predicciones_Hugo!$G64=Realidad!$G64,1,0)</f>
        <v/>
      </c>
      <c r="E64" s="14">
        <f>IF(Predicciones_Hugo!$H64=Realidad!$H64,1,0)</f>
        <v/>
      </c>
      <c r="F64" s="15">
        <f>B64+C64+D64+E64</f>
        <v/>
      </c>
      <c r="G64" s="14">
        <f>IF(Predicciones_Oscar!$E64=Realidad!$E64,1,0)</f>
        <v/>
      </c>
      <c r="H64" s="14">
        <f>IF(Predicciones_Oscar!$F64=Realidad!$F64,1,0)</f>
        <v/>
      </c>
      <c r="I64" s="14">
        <f>IF(Predicciones_Oscar!$G64=Realidad!$G64,1,0)</f>
        <v/>
      </c>
      <c r="J64" s="14">
        <f>IF(Predicciones_Oscar!$H64=Realidad!$H64,1,0)</f>
        <v/>
      </c>
      <c r="K64" s="15">
        <f>G64+H64+I64+J64</f>
        <v/>
      </c>
      <c r="L64" s="14">
        <f>IF(Predicciones_Camilo!$E64=Realidad!$E64,1,0)</f>
        <v/>
      </c>
      <c r="M64" s="14">
        <f>IF(Predicciones_Camilo!$F64=Realidad!$F64,1,0)</f>
        <v/>
      </c>
      <c r="N64" s="14">
        <f>IF(Predicciones_Camilo!$G64=Realidad!$G64,1,0)</f>
        <v/>
      </c>
      <c r="O64" s="14">
        <f>IF(Predicciones_Camilo!$H64=Realidad!$H64,1,0)</f>
        <v/>
      </c>
      <c r="P64" s="15">
        <f>L64+M64+N64+O64</f>
        <v/>
      </c>
    </row>
    <row r="65">
      <c r="A65" s="34" t="n">
        <v>64</v>
      </c>
      <c r="B65" s="14">
        <f>IF(Predicciones_Hugo!$E65=Realidad!$E65,1,0)</f>
        <v/>
      </c>
      <c r="C65" s="14">
        <f>IF(Predicciones_Hugo!$F65=Realidad!$F65,1,0)</f>
        <v/>
      </c>
      <c r="D65" s="14">
        <f>IF(Predicciones_Hugo!$G65=Realidad!$G65,1,0)</f>
        <v/>
      </c>
      <c r="E65" s="14">
        <f>IF(Predicciones_Hugo!$H65=Realidad!$H65,1,0)</f>
        <v/>
      </c>
      <c r="F65" s="15">
        <f>B65+C65+D65+E65</f>
        <v/>
      </c>
      <c r="G65" s="14">
        <f>IF(Predicciones_Oscar!$E65=Realidad!$E65,1,0)</f>
        <v/>
      </c>
      <c r="H65" s="14">
        <f>IF(Predicciones_Oscar!$F65=Realidad!$F65,1,0)</f>
        <v/>
      </c>
      <c r="I65" s="14">
        <f>IF(Predicciones_Oscar!$G65=Realidad!$G65,1,0)</f>
        <v/>
      </c>
      <c r="J65" s="14">
        <f>IF(Predicciones_Oscar!$H65=Realidad!$H65,1,0)</f>
        <v/>
      </c>
      <c r="K65" s="15">
        <f>G65+H65+I65+J65</f>
        <v/>
      </c>
      <c r="L65" s="14">
        <f>IF(Predicciones_Camilo!$E65=Realidad!$E65,1,0)</f>
        <v/>
      </c>
      <c r="M65" s="14">
        <f>IF(Predicciones_Camilo!$F65=Realidad!$F65,1,0)</f>
        <v/>
      </c>
      <c r="N65" s="14">
        <f>IF(Predicciones_Camilo!$G65=Realidad!$G65,1,0)</f>
        <v/>
      </c>
      <c r="O65" s="14">
        <f>IF(Predicciones_Camilo!$H65=Realidad!$H65,1,0)</f>
        <v/>
      </c>
      <c r="P65" s="15">
        <f>L65+M65+N65+O65</f>
        <v/>
      </c>
    </row>
    <row r="66">
      <c r="A66" s="34" t="n">
        <v>65</v>
      </c>
      <c r="B66" s="14">
        <f>IF(Predicciones_Hugo!$E66=Realidad!$E66,1,0)</f>
        <v/>
      </c>
      <c r="C66" s="14">
        <f>IF(Predicciones_Hugo!$F66=Realidad!$F66,1,0)</f>
        <v/>
      </c>
      <c r="D66" s="14">
        <f>IF(Predicciones_Hugo!$G66=Realidad!$G66,1,0)</f>
        <v/>
      </c>
      <c r="E66" s="14">
        <f>IF(Predicciones_Hugo!$H66=Realidad!$H66,1,0)</f>
        <v/>
      </c>
      <c r="F66" s="15">
        <f>B66+C66+D66+E66</f>
        <v/>
      </c>
      <c r="G66" s="14">
        <f>IF(Predicciones_Oscar!$E66=Realidad!$E66,1,0)</f>
        <v/>
      </c>
      <c r="H66" s="14">
        <f>IF(Predicciones_Oscar!$F66=Realidad!$F66,1,0)</f>
        <v/>
      </c>
      <c r="I66" s="14">
        <f>IF(Predicciones_Oscar!$G66=Realidad!$G66,1,0)</f>
        <v/>
      </c>
      <c r="J66" s="14">
        <f>IF(Predicciones_Oscar!$H66=Realidad!$H66,1,0)</f>
        <v/>
      </c>
      <c r="K66" s="15">
        <f>G66+H66+I66+J66</f>
        <v/>
      </c>
      <c r="L66" s="14">
        <f>IF(Predicciones_Camilo!$E66=Realidad!$E66,1,0)</f>
        <v/>
      </c>
      <c r="M66" s="14">
        <f>IF(Predicciones_Camilo!$F66=Realidad!$F66,1,0)</f>
        <v/>
      </c>
      <c r="N66" s="14">
        <f>IF(Predicciones_Camilo!$G66=Realidad!$G66,1,0)</f>
        <v/>
      </c>
      <c r="O66" s="14">
        <f>IF(Predicciones_Camilo!$H66=Realidad!$H66,1,0)</f>
        <v/>
      </c>
      <c r="P66" s="15">
        <f>L66+M66+N66+O66</f>
        <v/>
      </c>
    </row>
    <row r="67">
      <c r="A67" s="34" t="n">
        <v>66</v>
      </c>
      <c r="B67" s="14">
        <f>IF(Predicciones_Hugo!$E67=Realidad!$E67,1,0)</f>
        <v/>
      </c>
      <c r="C67" s="14">
        <f>IF(Predicciones_Hugo!$F67=Realidad!$F67,1,0)</f>
        <v/>
      </c>
      <c r="D67" s="14">
        <f>IF(Predicciones_Hugo!$G67=Realidad!$G67,1,0)</f>
        <v/>
      </c>
      <c r="E67" s="14">
        <f>IF(Predicciones_Hugo!$H67=Realidad!$H67,1,0)</f>
        <v/>
      </c>
      <c r="F67" s="15">
        <f>B67+C67+D67+E67</f>
        <v/>
      </c>
      <c r="G67" s="14">
        <f>IF(Predicciones_Oscar!$E67=Realidad!$E67,1,0)</f>
        <v/>
      </c>
      <c r="H67" s="14">
        <f>IF(Predicciones_Oscar!$F67=Realidad!$F67,1,0)</f>
        <v/>
      </c>
      <c r="I67" s="14">
        <f>IF(Predicciones_Oscar!$G67=Realidad!$G67,1,0)</f>
        <v/>
      </c>
      <c r="J67" s="14">
        <f>IF(Predicciones_Oscar!$H67=Realidad!$H67,1,0)</f>
        <v/>
      </c>
      <c r="K67" s="15">
        <f>G67+H67+I67+J67</f>
        <v/>
      </c>
      <c r="L67" s="14">
        <f>IF(Predicciones_Camilo!$E67=Realidad!$E67,1,0)</f>
        <v/>
      </c>
      <c r="M67" s="14">
        <f>IF(Predicciones_Camilo!$F67=Realidad!$F67,1,0)</f>
        <v/>
      </c>
      <c r="N67" s="14">
        <f>IF(Predicciones_Camilo!$G67=Realidad!$G67,1,0)</f>
        <v/>
      </c>
      <c r="O67" s="14">
        <f>IF(Predicciones_Camilo!$H67=Realidad!$H67,1,0)</f>
        <v/>
      </c>
      <c r="P67" s="15">
        <f>L67+M67+N67+O67</f>
        <v/>
      </c>
    </row>
    <row r="68">
      <c r="A68" s="34" t="n">
        <v>67</v>
      </c>
      <c r="B68" s="14">
        <f>IF(Predicciones_Hugo!$E68=Realidad!$E68,1,0)</f>
        <v/>
      </c>
      <c r="C68" s="14">
        <f>IF(Predicciones_Hugo!$F68=Realidad!$F68,1,0)</f>
        <v/>
      </c>
      <c r="D68" s="14">
        <f>IF(Predicciones_Hugo!$G68=Realidad!$G68,1,0)</f>
        <v/>
      </c>
      <c r="E68" s="14">
        <f>IF(Predicciones_Hugo!$H68=Realidad!$H68,1,0)</f>
        <v/>
      </c>
      <c r="F68" s="15">
        <f>B68+C68+D68+E68</f>
        <v/>
      </c>
      <c r="G68" s="14">
        <f>IF(Predicciones_Oscar!$E68=Realidad!$E68,1,0)</f>
        <v/>
      </c>
      <c r="H68" s="14">
        <f>IF(Predicciones_Oscar!$F68=Realidad!$F68,1,0)</f>
        <v/>
      </c>
      <c r="I68" s="14">
        <f>IF(Predicciones_Oscar!$G68=Realidad!$G68,1,0)</f>
        <v/>
      </c>
      <c r="J68" s="14">
        <f>IF(Predicciones_Oscar!$H68=Realidad!$H68,1,0)</f>
        <v/>
      </c>
      <c r="K68" s="15">
        <f>G68+H68+I68+J68</f>
        <v/>
      </c>
      <c r="L68" s="14">
        <f>IF(Predicciones_Camilo!$E68=Realidad!$E68,1,0)</f>
        <v/>
      </c>
      <c r="M68" s="14">
        <f>IF(Predicciones_Camilo!$F68=Realidad!$F68,1,0)</f>
        <v/>
      </c>
      <c r="N68" s="14">
        <f>IF(Predicciones_Camilo!$G68=Realidad!$G68,1,0)</f>
        <v/>
      </c>
      <c r="O68" s="14">
        <f>IF(Predicciones_Camilo!$H68=Realidad!$H68,1,0)</f>
        <v/>
      </c>
      <c r="P68" s="15">
        <f>L68+M68+N68+O68</f>
        <v/>
      </c>
    </row>
    <row r="69">
      <c r="A69" s="34" t="n">
        <v>68</v>
      </c>
      <c r="B69" s="14">
        <f>IF(Predicciones_Hugo!$E69=Realidad!$E69,1,0)</f>
        <v/>
      </c>
      <c r="C69" s="14">
        <f>IF(Predicciones_Hugo!$F69=Realidad!$F69,1,0)</f>
        <v/>
      </c>
      <c r="D69" s="14">
        <f>IF(Predicciones_Hugo!$G69=Realidad!$G69,1,0)</f>
        <v/>
      </c>
      <c r="E69" s="14">
        <f>IF(Predicciones_Hugo!$H69=Realidad!$H69,1,0)</f>
        <v/>
      </c>
      <c r="F69" s="15">
        <f>B69+C69+D69+E69</f>
        <v/>
      </c>
      <c r="G69" s="14">
        <f>IF(Predicciones_Oscar!$E69=Realidad!$E69,1,0)</f>
        <v/>
      </c>
      <c r="H69" s="14">
        <f>IF(Predicciones_Oscar!$F69=Realidad!$F69,1,0)</f>
        <v/>
      </c>
      <c r="I69" s="14">
        <f>IF(Predicciones_Oscar!$G69=Realidad!$G69,1,0)</f>
        <v/>
      </c>
      <c r="J69" s="14">
        <f>IF(Predicciones_Oscar!$H69=Realidad!$H69,1,0)</f>
        <v/>
      </c>
      <c r="K69" s="15">
        <f>G69+H69+I69+J69</f>
        <v/>
      </c>
      <c r="L69" s="14">
        <f>IF(Predicciones_Camilo!$E69=Realidad!$E69,1,0)</f>
        <v/>
      </c>
      <c r="M69" s="14">
        <f>IF(Predicciones_Camilo!$F69=Realidad!$F69,1,0)</f>
        <v/>
      </c>
      <c r="N69" s="14">
        <f>IF(Predicciones_Camilo!$G69=Realidad!$G69,1,0)</f>
        <v/>
      </c>
      <c r="O69" s="14">
        <f>IF(Predicciones_Camilo!$H69=Realidad!$H69,1,0)</f>
        <v/>
      </c>
      <c r="P69" s="15">
        <f>L69+M69+N69+O69</f>
        <v/>
      </c>
    </row>
    <row r="70">
      <c r="A70" s="34" t="n">
        <v>69</v>
      </c>
      <c r="B70" s="14">
        <f>IF(Predicciones_Hugo!$E70=Realidad!$E70,1,0)</f>
        <v/>
      </c>
      <c r="C70" s="14">
        <f>IF(Predicciones_Hugo!$F70=Realidad!$F70,1,0)</f>
        <v/>
      </c>
      <c r="D70" s="14">
        <f>IF(Predicciones_Hugo!$G70=Realidad!$G70,1,0)</f>
        <v/>
      </c>
      <c r="E70" s="14">
        <f>IF(Predicciones_Hugo!$H70=Realidad!$H70,1,0)</f>
        <v/>
      </c>
      <c r="F70" s="15">
        <f>B70+C70+D70+E70</f>
        <v/>
      </c>
      <c r="G70" s="14">
        <f>IF(Predicciones_Oscar!$E70=Realidad!$E70,1,0)</f>
        <v/>
      </c>
      <c r="H70" s="14">
        <f>IF(Predicciones_Oscar!$F70=Realidad!$F70,1,0)</f>
        <v/>
      </c>
      <c r="I70" s="14">
        <f>IF(Predicciones_Oscar!$G70=Realidad!$G70,1,0)</f>
        <v/>
      </c>
      <c r="J70" s="14">
        <f>IF(Predicciones_Oscar!$H70=Realidad!$H70,1,0)</f>
        <v/>
      </c>
      <c r="K70" s="15">
        <f>G70+H70+I70+J70</f>
        <v/>
      </c>
      <c r="L70" s="14">
        <f>IF(Predicciones_Camilo!$E70=Realidad!$E70,1,0)</f>
        <v/>
      </c>
      <c r="M70" s="14">
        <f>IF(Predicciones_Camilo!$F70=Realidad!$F70,1,0)</f>
        <v/>
      </c>
      <c r="N70" s="14">
        <f>IF(Predicciones_Camilo!$G70=Realidad!$G70,1,0)</f>
        <v/>
      </c>
      <c r="O70" s="14">
        <f>IF(Predicciones_Camilo!$H70=Realidad!$H70,1,0)</f>
        <v/>
      </c>
      <c r="P70" s="15">
        <f>L70+M70+N70+O70</f>
        <v/>
      </c>
    </row>
    <row r="71">
      <c r="A71" s="34" t="n">
        <v>70</v>
      </c>
      <c r="B71" s="14">
        <f>IF(Predicciones_Hugo!$E71=Realidad!$E71,1,0)</f>
        <v/>
      </c>
      <c r="C71" s="14">
        <f>IF(Predicciones_Hugo!$F71=Realidad!$F71,1,0)</f>
        <v/>
      </c>
      <c r="D71" s="14">
        <f>IF(Predicciones_Hugo!$G71=Realidad!$G71,1,0)</f>
        <v/>
      </c>
      <c r="E71" s="14">
        <f>IF(Predicciones_Hugo!$H71=Realidad!$H71,1,0)</f>
        <v/>
      </c>
      <c r="F71" s="15">
        <f>B71+C71+D71+E71</f>
        <v/>
      </c>
      <c r="G71" s="14">
        <f>IF(Predicciones_Oscar!$E71=Realidad!$E71,1,0)</f>
        <v/>
      </c>
      <c r="H71" s="14">
        <f>IF(Predicciones_Oscar!$F71=Realidad!$F71,1,0)</f>
        <v/>
      </c>
      <c r="I71" s="14">
        <f>IF(Predicciones_Oscar!$G71=Realidad!$G71,1,0)</f>
        <v/>
      </c>
      <c r="J71" s="14">
        <f>IF(Predicciones_Oscar!$H71=Realidad!$H71,1,0)</f>
        <v/>
      </c>
      <c r="K71" s="15">
        <f>G71+H71+I71+J71</f>
        <v/>
      </c>
      <c r="L71" s="14">
        <f>IF(Predicciones_Camilo!$E71=Realidad!$E71,1,0)</f>
        <v/>
      </c>
      <c r="M71" s="14">
        <f>IF(Predicciones_Camilo!$F71=Realidad!$F71,1,0)</f>
        <v/>
      </c>
      <c r="N71" s="14">
        <f>IF(Predicciones_Camilo!$G71=Realidad!$G71,1,0)</f>
        <v/>
      </c>
      <c r="O71" s="14">
        <f>IF(Predicciones_Camilo!$H71=Realidad!$H71,1,0)</f>
        <v/>
      </c>
      <c r="P71" s="15">
        <f>L71+M71+N71+O71</f>
        <v/>
      </c>
    </row>
    <row r="72">
      <c r="A72" s="34" t="n">
        <v>71</v>
      </c>
      <c r="B72" s="14">
        <f>IF(Predicciones_Hugo!$E72=Realidad!$E72,1,0)</f>
        <v/>
      </c>
      <c r="C72" s="14">
        <f>IF(Predicciones_Hugo!$F72=Realidad!$F72,1,0)</f>
        <v/>
      </c>
      <c r="D72" s="14">
        <f>IF(Predicciones_Hugo!$G72=Realidad!$G72,1,0)</f>
        <v/>
      </c>
      <c r="E72" s="14">
        <f>IF(Predicciones_Hugo!$H72=Realidad!$H72,1,0)</f>
        <v/>
      </c>
      <c r="F72" s="15">
        <f>B72+C72+D72+E72</f>
        <v/>
      </c>
      <c r="G72" s="14">
        <f>IF(Predicciones_Oscar!$E72=Realidad!$E72,1,0)</f>
        <v/>
      </c>
      <c r="H72" s="14">
        <f>IF(Predicciones_Oscar!$F72=Realidad!$F72,1,0)</f>
        <v/>
      </c>
      <c r="I72" s="14">
        <f>IF(Predicciones_Oscar!$G72=Realidad!$G72,1,0)</f>
        <v/>
      </c>
      <c r="J72" s="14">
        <f>IF(Predicciones_Oscar!$H72=Realidad!$H72,1,0)</f>
        <v/>
      </c>
      <c r="K72" s="15">
        <f>G72+H72+I72+J72</f>
        <v/>
      </c>
      <c r="L72" s="14">
        <f>IF(Predicciones_Camilo!$E72=Realidad!$E72,1,0)</f>
        <v/>
      </c>
      <c r="M72" s="14">
        <f>IF(Predicciones_Camilo!$F72=Realidad!$F72,1,0)</f>
        <v/>
      </c>
      <c r="N72" s="14">
        <f>IF(Predicciones_Camilo!$G72=Realidad!$G72,1,0)</f>
        <v/>
      </c>
      <c r="O72" s="14">
        <f>IF(Predicciones_Camilo!$H72=Realidad!$H72,1,0)</f>
        <v/>
      </c>
      <c r="P72" s="15">
        <f>L72+M72+N72+O72</f>
        <v/>
      </c>
    </row>
    <row r="73">
      <c r="A73" s="34" t="n">
        <v>72</v>
      </c>
      <c r="B73" s="14">
        <f>IF(Predicciones_Hugo!$E73=Realidad!$E73,1,0)</f>
        <v/>
      </c>
      <c r="C73" s="14">
        <f>IF(Predicciones_Hugo!$F73=Realidad!$F73,1,0)</f>
        <v/>
      </c>
      <c r="D73" s="14">
        <f>IF(Predicciones_Hugo!$G73=Realidad!$G73,1,0)</f>
        <v/>
      </c>
      <c r="E73" s="14">
        <f>IF(Predicciones_Hugo!$H73=Realidad!$H73,1,0)</f>
        <v/>
      </c>
      <c r="F73" s="15">
        <f>B73+C73+D73+E73</f>
        <v/>
      </c>
      <c r="G73" s="14">
        <f>IF(Predicciones_Oscar!$E73=Realidad!$E73,1,0)</f>
        <v/>
      </c>
      <c r="H73" s="14">
        <f>IF(Predicciones_Oscar!$F73=Realidad!$F73,1,0)</f>
        <v/>
      </c>
      <c r="I73" s="14">
        <f>IF(Predicciones_Oscar!$G73=Realidad!$G73,1,0)</f>
        <v/>
      </c>
      <c r="J73" s="14">
        <f>IF(Predicciones_Oscar!$H73=Realidad!$H73,1,0)</f>
        <v/>
      </c>
      <c r="K73" s="15">
        <f>G73+H73+I73+J73</f>
        <v/>
      </c>
      <c r="L73" s="14">
        <f>IF(Predicciones_Camilo!$E73=Realidad!$E73,1,0)</f>
        <v/>
      </c>
      <c r="M73" s="14">
        <f>IF(Predicciones_Camilo!$F73=Realidad!$F73,1,0)</f>
        <v/>
      </c>
      <c r="N73" s="14">
        <f>IF(Predicciones_Camilo!$G73=Realidad!$G73,1,0)</f>
        <v/>
      </c>
      <c r="O73" s="14">
        <f>IF(Predicciones_Camilo!$H73=Realidad!$H73,1,0)</f>
        <v/>
      </c>
      <c r="P73" s="15">
        <f>L73+M73+N73+O73</f>
        <v/>
      </c>
    </row>
    <row r="74">
      <c r="A74" s="34" t="inlineStr">
        <is>
          <t>Dieciseisavos</t>
        </is>
      </c>
      <c r="B74" s="14" t="inlineStr">
        <is>
          <t>Alemania</t>
        </is>
      </c>
      <c r="C74" s="14">
        <f>COUNTIF('Realidad Playoffs'!A:A,Puntajes!B74)</f>
        <v/>
      </c>
      <c r="D74" s="14" t="n"/>
      <c r="E74" s="14" t="n"/>
      <c r="F74" s="15">
        <f>IF(C74&gt;0,4,0)</f>
        <v/>
      </c>
      <c r="G74" s="14" t="inlineStr">
        <is>
          <t>Alemania</t>
        </is>
      </c>
      <c r="H74" s="14">
        <f>COUNTIF('Realidad Playoffs'!A:A,Puntajes!G74)</f>
        <v/>
      </c>
      <c r="I74" s="14" t="n"/>
      <c r="J74" s="14" t="n"/>
      <c r="K74" s="15">
        <f>IF(H74&gt;0,4,0)</f>
        <v/>
      </c>
      <c r="L74" s="14" t="inlineStr">
        <is>
          <t>Alemania</t>
        </is>
      </c>
      <c r="M74" s="14">
        <f>COUNTIF('Realidad Playoffs'!A:A,Puntajes!L74)</f>
        <v/>
      </c>
      <c r="N74" s="14" t="n"/>
      <c r="O74" s="14" t="n"/>
      <c r="P74" s="15">
        <f>IF(M74&gt;0,4,0)</f>
        <v/>
      </c>
    </row>
    <row r="75">
      <c r="A75" s="34" t="inlineStr">
        <is>
          <t>Dieciseisavos</t>
        </is>
      </c>
      <c r="B75" s="14" t="inlineStr">
        <is>
          <t>Escocia</t>
        </is>
      </c>
      <c r="C75" s="14">
        <f>COUNTIF('Realidad Playoffs'!A:A,Puntajes!B75)</f>
        <v/>
      </c>
      <c r="D75" s="14" t="n"/>
      <c r="E75" s="14" t="n"/>
      <c r="F75" s="15">
        <f>IF(C75&gt;0,4,0)</f>
        <v/>
      </c>
      <c r="G75" s="14" t="inlineStr">
        <is>
          <t>Escocia</t>
        </is>
      </c>
      <c r="H75" s="14">
        <f>COUNTIF('Realidad Playoffs'!A:A,Puntajes!G75)</f>
        <v/>
      </c>
      <c r="I75" s="14" t="n"/>
      <c r="J75" s="14" t="n"/>
      <c r="K75" s="15">
        <f>IF(H75&gt;0,4,0)</f>
        <v/>
      </c>
      <c r="L75" s="14" t="inlineStr">
        <is>
          <t>Estados Unidos</t>
        </is>
      </c>
      <c r="M75" s="14">
        <f>COUNTIF('Realidad Playoffs'!A:A,Puntajes!L75)</f>
        <v/>
      </c>
      <c r="N75" s="14" t="n"/>
      <c r="O75" s="14" t="n"/>
      <c r="P75" s="15">
        <f>IF(M75&gt;0,4,0)</f>
        <v/>
      </c>
    </row>
    <row r="76">
      <c r="A76" s="34" t="inlineStr">
        <is>
          <t>Dieciseisavos</t>
        </is>
      </c>
      <c r="B76" s="14" t="inlineStr">
        <is>
          <t>Francia</t>
        </is>
      </c>
      <c r="C76" s="14">
        <f>COUNTIF('Realidad Playoffs'!A:A,Puntajes!B76)</f>
        <v/>
      </c>
      <c r="D76" s="14" t="n"/>
      <c r="E76" s="14" t="n"/>
      <c r="F76" s="15">
        <f>IF(C76&gt;0,4,0)</f>
        <v/>
      </c>
      <c r="G76" s="14" t="inlineStr">
        <is>
          <t>Francia</t>
        </is>
      </c>
      <c r="H76" s="14">
        <f>COUNTIF('Realidad Playoffs'!A:A,Puntajes!G76)</f>
        <v/>
      </c>
      <c r="I76" s="14" t="n"/>
      <c r="J76" s="14" t="n"/>
      <c r="K76" s="15">
        <f>IF(H76&gt;0,4,0)</f>
        <v/>
      </c>
      <c r="L76" s="14" t="inlineStr">
        <is>
          <t>Francia</t>
        </is>
      </c>
      <c r="M76" s="14">
        <f>COUNTIF('Realidad Playoffs'!A:A,Puntajes!L76)</f>
        <v/>
      </c>
      <c r="N76" s="14" t="n"/>
      <c r="O76" s="14" t="n"/>
      <c r="P76" s="15">
        <f>IF(M76&gt;0,4,0)</f>
        <v/>
      </c>
    </row>
    <row r="77">
      <c r="A77" s="34" t="inlineStr">
        <is>
          <t>Dieciseisavos</t>
        </is>
      </c>
      <c r="B77" s="14" t="inlineStr">
        <is>
          <t>Arabia Saudi</t>
        </is>
      </c>
      <c r="C77" s="14">
        <f>COUNTIF('Realidad Playoffs'!A:A,Puntajes!B77)</f>
        <v/>
      </c>
      <c r="D77" s="14" t="n"/>
      <c r="E77" s="14" t="n"/>
      <c r="F77" s="15">
        <f>IF(C77&gt;0,4,0)</f>
        <v/>
      </c>
      <c r="G77" s="14" t="inlineStr">
        <is>
          <t>Suecia</t>
        </is>
      </c>
      <c r="H77" s="14">
        <f>COUNTIF('Realidad Playoffs'!A:A,Puntajes!G77)</f>
        <v/>
      </c>
      <c r="I77" s="14" t="n"/>
      <c r="J77" s="14" t="n"/>
      <c r="K77" s="15">
        <f>IF(H77&gt;0,4,0)</f>
        <v/>
      </c>
      <c r="L77" s="14" t="inlineStr">
        <is>
          <t>Suecia</t>
        </is>
      </c>
      <c r="M77" s="14">
        <f>COUNTIF('Realidad Playoffs'!A:A,Puntajes!L77)</f>
        <v/>
      </c>
      <c r="N77" s="14" t="n"/>
      <c r="O77" s="14" t="n"/>
      <c r="P77" s="15">
        <f>IF(M77&gt;0,4,0)</f>
        <v/>
      </c>
    </row>
    <row r="78">
      <c r="A78" s="34" t="inlineStr">
        <is>
          <t>Dieciseisavos</t>
        </is>
      </c>
      <c r="B78" s="14" t="inlineStr">
        <is>
          <t>Sudáfrica</t>
        </is>
      </c>
      <c r="C78" s="14">
        <f>COUNTIF('Realidad Playoffs'!A:A,Puntajes!B78)</f>
        <v/>
      </c>
      <c r="D78" s="14" t="n"/>
      <c r="E78" s="14" t="n"/>
      <c r="F78" s="15">
        <f>IF(C78&gt;0,4,0)</f>
        <v/>
      </c>
      <c r="G78" s="14" t="inlineStr">
        <is>
          <t>República Checa</t>
        </is>
      </c>
      <c r="H78" s="14">
        <f>COUNTIF('Realidad Playoffs'!A:A,Puntajes!G78)</f>
        <v/>
      </c>
      <c r="I78" s="14" t="n"/>
      <c r="J78" s="14" t="n"/>
      <c r="K78" s="15">
        <f>IF(H78&gt;0,4,0)</f>
        <v/>
      </c>
      <c r="L78" s="14" t="inlineStr">
        <is>
          <t>Corea del Sur</t>
        </is>
      </c>
      <c r="M78" s="14">
        <f>COUNTIF('Realidad Playoffs'!A:A,Puntajes!L78)</f>
        <v/>
      </c>
      <c r="N78" s="14" t="n"/>
      <c r="O78" s="14" t="n"/>
      <c r="P78" s="15">
        <f>IF(M78&gt;0,4,0)</f>
        <v/>
      </c>
    </row>
    <row r="79">
      <c r="A79" s="34" t="inlineStr">
        <is>
          <t>Dieciseisavos</t>
        </is>
      </c>
      <c r="B79" s="14" t="inlineStr">
        <is>
          <t>Canadá</t>
        </is>
      </c>
      <c r="C79" s="14">
        <f>COUNTIF('Realidad Playoffs'!A:A,Puntajes!B79)</f>
        <v/>
      </c>
      <c r="D79" s="14" t="n"/>
      <c r="E79" s="14" t="n"/>
      <c r="F79" s="15">
        <f>IF(C79&gt;0,4,0)</f>
        <v/>
      </c>
      <c r="G79" s="14" t="inlineStr">
        <is>
          <t>Canadá</t>
        </is>
      </c>
      <c r="H79" s="14">
        <f>COUNTIF('Realidad Playoffs'!A:A,Puntajes!G79)</f>
        <v/>
      </c>
      <c r="I79" s="14" t="n"/>
      <c r="J79" s="14" t="n"/>
      <c r="K79" s="15">
        <f>IF(H79&gt;0,4,0)</f>
        <v/>
      </c>
      <c r="L79" s="14" t="inlineStr">
        <is>
          <t>Bosnia y Herzegovina</t>
        </is>
      </c>
      <c r="M79" s="14">
        <f>COUNTIF('Realidad Playoffs'!A:A,Puntajes!L79)</f>
        <v/>
      </c>
      <c r="N79" s="14" t="n"/>
      <c r="O79" s="14" t="n"/>
      <c r="P79" s="15">
        <f>IF(M79&gt;0,4,0)</f>
        <v/>
      </c>
    </row>
    <row r="80">
      <c r="A80" s="34" t="inlineStr">
        <is>
          <t>Dieciseisavos</t>
        </is>
      </c>
      <c r="B80" s="14" t="inlineStr">
        <is>
          <t>Países Bajos</t>
        </is>
      </c>
      <c r="C80" s="14">
        <f>COUNTIF('Realidad Playoffs'!A:A,Puntajes!B80)</f>
        <v/>
      </c>
      <c r="D80" s="14" t="n"/>
      <c r="E80" s="14" t="n"/>
      <c r="F80" s="15">
        <f>IF(C80&gt;0,4,0)</f>
        <v/>
      </c>
      <c r="G80" s="14" t="inlineStr">
        <is>
          <t>Japón</t>
        </is>
      </c>
      <c r="H80" s="14">
        <f>COUNTIF('Realidad Playoffs'!A:A,Puntajes!G80)</f>
        <v/>
      </c>
      <c r="I80" s="14" t="n"/>
      <c r="J80" s="14" t="n"/>
      <c r="K80" s="15">
        <f>IF(H80&gt;0,4,0)</f>
        <v/>
      </c>
      <c r="L80" s="14" t="inlineStr">
        <is>
          <t>Países Bajos</t>
        </is>
      </c>
      <c r="M80" s="14">
        <f>COUNTIF('Realidad Playoffs'!A:A,Puntajes!L80)</f>
        <v/>
      </c>
      <c r="N80" s="14" t="n"/>
      <c r="O80" s="14" t="n"/>
      <c r="P80" s="15">
        <f>IF(M80&gt;0,4,0)</f>
        <v/>
      </c>
    </row>
    <row r="81">
      <c r="A81" s="34" t="inlineStr">
        <is>
          <t>Dieciseisavos</t>
        </is>
      </c>
      <c r="B81" s="14" t="inlineStr">
        <is>
          <t>Marruecos</t>
        </is>
      </c>
      <c r="C81" s="14">
        <f>COUNTIF('Realidad Playoffs'!A:A,Puntajes!B81)</f>
        <v/>
      </c>
      <c r="D81" s="14" t="n"/>
      <c r="E81" s="14" t="n"/>
      <c r="F81" s="15">
        <f>IF(C81&gt;0,4,0)</f>
        <v/>
      </c>
      <c r="G81" s="14" t="inlineStr">
        <is>
          <t>Marruecos</t>
        </is>
      </c>
      <c r="H81" s="14">
        <f>COUNTIF('Realidad Playoffs'!A:A,Puntajes!G81)</f>
        <v/>
      </c>
      <c r="I81" s="14" t="n"/>
      <c r="J81" s="14" t="n"/>
      <c r="K81" s="15">
        <f>IF(H81&gt;0,4,0)</f>
        <v/>
      </c>
      <c r="L81" s="14" t="inlineStr">
        <is>
          <t>Marruecos</t>
        </is>
      </c>
      <c r="M81" s="14">
        <f>COUNTIF('Realidad Playoffs'!A:A,Puntajes!L81)</f>
        <v/>
      </c>
      <c r="N81" s="14" t="n"/>
      <c r="O81" s="14" t="n"/>
      <c r="P81" s="15">
        <f>IF(M81&gt;0,4,0)</f>
        <v/>
      </c>
    </row>
    <row r="82">
      <c r="A82" s="34" t="inlineStr">
        <is>
          <t>Dieciseisavos</t>
        </is>
      </c>
      <c r="B82" s="14" t="inlineStr">
        <is>
          <t>Colombia</t>
        </is>
      </c>
      <c r="C82" s="14">
        <f>COUNTIF('Realidad Playoffs'!A:A,Puntajes!B82)</f>
        <v/>
      </c>
      <c r="D82" s="14" t="n"/>
      <c r="E82" s="14" t="n"/>
      <c r="F82" s="15">
        <f>IF(C82&gt;0,4,0)</f>
        <v/>
      </c>
      <c r="G82" s="14" t="inlineStr">
        <is>
          <t>Colombia</t>
        </is>
      </c>
      <c r="H82" s="14">
        <f>COUNTIF('Realidad Playoffs'!A:A,Puntajes!G82)</f>
        <v/>
      </c>
      <c r="I82" s="14" t="n"/>
      <c r="J82" s="14" t="n"/>
      <c r="K82" s="15">
        <f>IF(H82&gt;0,4,0)</f>
        <v/>
      </c>
      <c r="L82" s="14" t="inlineStr">
        <is>
          <t>Colombia</t>
        </is>
      </c>
      <c r="M82" s="14">
        <f>COUNTIF('Realidad Playoffs'!A:A,Puntajes!L82)</f>
        <v/>
      </c>
      <c r="N82" s="14" t="n"/>
      <c r="O82" s="14" t="n"/>
      <c r="P82" s="15">
        <f>IF(M82&gt;0,4,0)</f>
        <v/>
      </c>
    </row>
    <row r="83">
      <c r="A83" s="34" t="inlineStr">
        <is>
          <t>Dieciseisavos</t>
        </is>
      </c>
      <c r="B83" s="14" t="inlineStr">
        <is>
          <t>Croacia</t>
        </is>
      </c>
      <c r="C83" s="14">
        <f>COUNTIF('Realidad Playoffs'!A:A,Puntajes!B83)</f>
        <v/>
      </c>
      <c r="D83" s="14" t="n"/>
      <c r="E83" s="14" t="n"/>
      <c r="F83" s="15">
        <f>IF(C83&gt;0,4,0)</f>
        <v/>
      </c>
      <c r="G83" s="14" t="inlineStr">
        <is>
          <t>Croacia</t>
        </is>
      </c>
      <c r="H83" s="14">
        <f>COUNTIF('Realidad Playoffs'!A:A,Puntajes!G83)</f>
        <v/>
      </c>
      <c r="I83" s="14" t="n"/>
      <c r="J83" s="14" t="n"/>
      <c r="K83" s="15">
        <f>IF(H83&gt;0,4,0)</f>
        <v/>
      </c>
      <c r="L83" s="14" t="inlineStr">
        <is>
          <t>Croacia</t>
        </is>
      </c>
      <c r="M83" s="14">
        <f>COUNTIF('Realidad Playoffs'!A:A,Puntajes!L83)</f>
        <v/>
      </c>
      <c r="N83" s="14" t="n"/>
      <c r="O83" s="14" t="n"/>
      <c r="P83" s="15">
        <f>IF(M83&gt;0,4,0)</f>
        <v/>
      </c>
    </row>
    <row r="84">
      <c r="A84" s="34" t="inlineStr">
        <is>
          <t>Dieciseisavos</t>
        </is>
      </c>
      <c r="B84" s="14" t="inlineStr">
        <is>
          <t>Uruguay</t>
        </is>
      </c>
      <c r="C84" s="14">
        <f>COUNTIF('Realidad Playoffs'!A:A,Puntajes!B84)</f>
        <v/>
      </c>
      <c r="D84" s="14" t="n"/>
      <c r="E84" s="14" t="n"/>
      <c r="F84" s="15">
        <f>IF(C84&gt;0,4,0)</f>
        <v/>
      </c>
      <c r="G84" s="14" t="inlineStr">
        <is>
          <t>España</t>
        </is>
      </c>
      <c r="H84" s="14">
        <f>COUNTIF('Realidad Playoffs'!A:A,Puntajes!G84)</f>
        <v/>
      </c>
      <c r="I84" s="14" t="n"/>
      <c r="J84" s="14" t="n"/>
      <c r="K84" s="15">
        <f>IF(H84&gt;0,4,0)</f>
        <v/>
      </c>
      <c r="L84" s="14" t="inlineStr">
        <is>
          <t>España</t>
        </is>
      </c>
      <c r="M84" s="14">
        <f>COUNTIF('Realidad Playoffs'!A:A,Puntajes!L84)</f>
        <v/>
      </c>
      <c r="N84" s="14" t="n"/>
      <c r="O84" s="14" t="n"/>
      <c r="P84" s="15">
        <f>IF(M84&gt;0,4,0)</f>
        <v/>
      </c>
    </row>
    <row r="85">
      <c r="A85" s="34" t="inlineStr">
        <is>
          <t>Dieciseisavos</t>
        </is>
      </c>
      <c r="B85" s="14" t="inlineStr">
        <is>
          <t>Austria</t>
        </is>
      </c>
      <c r="C85" s="14">
        <f>COUNTIF('Realidad Playoffs'!A:A,Puntajes!B85)</f>
        <v/>
      </c>
      <c r="D85" s="14" t="n"/>
      <c r="E85" s="14" t="n"/>
      <c r="F85" s="15">
        <f>IF(C85&gt;0,4,0)</f>
        <v/>
      </c>
      <c r="G85" s="14" t="inlineStr">
        <is>
          <t>Austria</t>
        </is>
      </c>
      <c r="H85" s="14">
        <f>COUNTIF('Realidad Playoffs'!A:A,Puntajes!G85)</f>
        <v/>
      </c>
      <c r="I85" s="14" t="n"/>
      <c r="J85" s="14" t="n"/>
      <c r="K85" s="15">
        <f>IF(H85&gt;0,4,0)</f>
        <v/>
      </c>
      <c r="L85" s="14" t="inlineStr">
        <is>
          <t>Argelia</t>
        </is>
      </c>
      <c r="M85" s="14">
        <f>COUNTIF('Realidad Playoffs'!A:A,Puntajes!L85)</f>
        <v/>
      </c>
      <c r="N85" s="14" t="n"/>
      <c r="O85" s="14" t="n"/>
      <c r="P85" s="15">
        <f>IF(M85&gt;0,4,0)</f>
        <v/>
      </c>
    </row>
    <row r="86">
      <c r="A86" s="34" t="inlineStr">
        <is>
          <t>Dieciseisavos</t>
        </is>
      </c>
      <c r="B86" s="14" t="inlineStr">
        <is>
          <t>Turquía</t>
        </is>
      </c>
      <c r="C86" s="14">
        <f>COUNTIF('Realidad Playoffs'!A:A,Puntajes!B86)</f>
        <v/>
      </c>
      <c r="D86" s="14" t="n"/>
      <c r="E86" s="14" t="n"/>
      <c r="F86" s="15">
        <f>IF(C86&gt;0,4,0)</f>
        <v/>
      </c>
      <c r="G86" s="14" t="inlineStr">
        <is>
          <t>Turquía</t>
        </is>
      </c>
      <c r="H86" s="14">
        <f>COUNTIF('Realidad Playoffs'!A:A,Puntajes!G86)</f>
        <v/>
      </c>
      <c r="I86" s="14" t="n"/>
      <c r="J86" s="14" t="n"/>
      <c r="K86" s="15">
        <f>IF(H86&gt;0,4,0)</f>
        <v/>
      </c>
      <c r="L86" s="14" t="inlineStr">
        <is>
          <t>Turquía</t>
        </is>
      </c>
      <c r="M86" s="14">
        <f>COUNTIF('Realidad Playoffs'!A:A,Puntajes!L86)</f>
        <v/>
      </c>
      <c r="N86" s="14" t="n"/>
      <c r="O86" s="14" t="n"/>
      <c r="P86" s="15">
        <f>IF(M86&gt;0,4,0)</f>
        <v/>
      </c>
    </row>
    <row r="87">
      <c r="A87" s="34" t="inlineStr">
        <is>
          <t>Dieciseisavos</t>
        </is>
      </c>
      <c r="B87" s="14" t="inlineStr">
        <is>
          <t>Bosnia y Herzegovina</t>
        </is>
      </c>
      <c r="C87" s="14">
        <f>COUNTIF('Realidad Playoffs'!A:A,Puntajes!B87)</f>
        <v/>
      </c>
      <c r="D87" s="14" t="n"/>
      <c r="E87" s="14" t="n"/>
      <c r="F87" s="15">
        <f>IF(C87&gt;0,4,0)</f>
        <v/>
      </c>
      <c r="G87" s="14" t="inlineStr">
        <is>
          <t>Argelia</t>
        </is>
      </c>
      <c r="H87" s="14">
        <f>COUNTIF('Realidad Playoffs'!A:A,Puntajes!G87)</f>
        <v/>
      </c>
      <c r="I87" s="14" t="n"/>
      <c r="J87" s="14" t="n"/>
      <c r="K87" s="15">
        <f>IF(H87&gt;0,4,0)</f>
        <v/>
      </c>
      <c r="L87" s="14" t="inlineStr">
        <is>
          <t>Canadá</t>
        </is>
      </c>
      <c r="M87" s="14">
        <f>COUNTIF('Realidad Playoffs'!A:A,Puntajes!L87)</f>
        <v/>
      </c>
      <c r="N87" s="14" t="n"/>
      <c r="O87" s="14" t="n"/>
      <c r="P87" s="15">
        <f>IF(M87&gt;0,4,0)</f>
        <v/>
      </c>
    </row>
    <row r="88">
      <c r="A88" s="34" t="inlineStr">
        <is>
          <t>Dieciseisavos</t>
        </is>
      </c>
      <c r="B88" s="14" t="inlineStr">
        <is>
          <t>Bélgica</t>
        </is>
      </c>
      <c r="C88" s="14">
        <f>COUNTIF('Realidad Playoffs'!A:A,Puntajes!B88)</f>
        <v/>
      </c>
      <c r="D88" s="14" t="n"/>
      <c r="E88" s="14" t="n"/>
      <c r="F88" s="15">
        <f>IF(C88&gt;0,4,0)</f>
        <v/>
      </c>
      <c r="G88" s="14" t="inlineStr">
        <is>
          <t>Bélgica</t>
        </is>
      </c>
      <c r="H88" s="14">
        <f>COUNTIF('Realidad Playoffs'!A:A,Puntajes!G88)</f>
        <v/>
      </c>
      <c r="I88" s="14" t="n"/>
      <c r="J88" s="14" t="n"/>
      <c r="K88" s="15">
        <f>IF(H88&gt;0,4,0)</f>
        <v/>
      </c>
      <c r="L88" s="14" t="inlineStr">
        <is>
          <t>Bélgica</t>
        </is>
      </c>
      <c r="M88" s="14">
        <f>COUNTIF('Realidad Playoffs'!A:A,Puntajes!L88)</f>
        <v/>
      </c>
      <c r="N88" s="14" t="n"/>
      <c r="O88" s="14" t="n"/>
      <c r="P88" s="15">
        <f>IF(M88&gt;0,4,0)</f>
        <v/>
      </c>
    </row>
    <row r="89">
      <c r="A89" s="34" t="inlineStr">
        <is>
          <t>Dieciseisavos</t>
        </is>
      </c>
      <c r="B89" s="14" t="inlineStr">
        <is>
          <t>República Checa</t>
        </is>
      </c>
      <c r="C89" s="14">
        <f>COUNTIF('Realidad Playoffs'!A:A,Puntajes!B89)</f>
        <v/>
      </c>
      <c r="D89" s="14" t="n"/>
      <c r="E89" s="14" t="n"/>
      <c r="F89" s="15">
        <f>IF(C89&gt;0,4,0)</f>
        <v/>
      </c>
      <c r="G89" s="14" t="inlineStr">
        <is>
          <t>Corea del Sur</t>
        </is>
      </c>
      <c r="H89" s="14">
        <f>COUNTIF('Realidad Playoffs'!A:A,Puntajes!G89)</f>
        <v/>
      </c>
      <c r="I89" s="14" t="n"/>
      <c r="J89" s="14" t="n"/>
      <c r="K89" s="15">
        <f>IF(H89&gt;0,4,0)</f>
        <v/>
      </c>
      <c r="L89" s="14" t="inlineStr">
        <is>
          <t>República Checa</t>
        </is>
      </c>
      <c r="M89" s="14">
        <f>COUNTIF('Realidad Playoffs'!A:A,Puntajes!L89)</f>
        <v/>
      </c>
      <c r="N89" s="14" t="n"/>
      <c r="O89" s="14" t="n"/>
      <c r="P89" s="15">
        <f>IF(M89&gt;0,4,0)</f>
        <v/>
      </c>
    </row>
    <row r="90">
      <c r="A90" s="34" t="inlineStr">
        <is>
          <t>Dieciseisavos</t>
        </is>
      </c>
      <c r="B90" s="14" t="inlineStr">
        <is>
          <t>Brasil</t>
        </is>
      </c>
      <c r="C90" s="14">
        <f>COUNTIF('Realidad Playoffs'!A:A,Puntajes!B90)</f>
        <v/>
      </c>
      <c r="D90" s="14" t="n"/>
      <c r="E90" s="14" t="n"/>
      <c r="F90" s="15">
        <f>IF(C90&gt;0,4,0)</f>
        <v/>
      </c>
      <c r="G90" s="14" t="inlineStr">
        <is>
          <t>Brasil</t>
        </is>
      </c>
      <c r="H90" s="14">
        <f>COUNTIF('Realidad Playoffs'!A:A,Puntajes!G90)</f>
        <v/>
      </c>
      <c r="I90" s="14" t="n"/>
      <c r="J90" s="14" t="n"/>
      <c r="K90" s="15">
        <f>IF(H90&gt;0,4,0)</f>
        <v/>
      </c>
      <c r="L90" s="14" t="inlineStr">
        <is>
          <t>Brasil</t>
        </is>
      </c>
      <c r="M90" s="14">
        <f>COUNTIF('Realidad Playoffs'!A:A,Puntajes!L90)</f>
        <v/>
      </c>
      <c r="N90" s="14" t="n"/>
      <c r="O90" s="14" t="n"/>
      <c r="P90" s="15">
        <f>IF(M90&gt;0,4,0)</f>
        <v/>
      </c>
    </row>
    <row r="91">
      <c r="A91" s="34" t="inlineStr">
        <is>
          <t>Dieciseisavos</t>
        </is>
      </c>
      <c r="B91" s="14" t="inlineStr">
        <is>
          <t>Japón</t>
        </is>
      </c>
      <c r="C91" s="14">
        <f>COUNTIF('Realidad Playoffs'!A:A,Puntajes!B91)</f>
        <v/>
      </c>
      <c r="D91" s="14" t="n"/>
      <c r="E91" s="14" t="n"/>
      <c r="F91" s="15">
        <f>IF(C91&gt;0,4,0)</f>
        <v/>
      </c>
      <c r="G91" s="14" t="inlineStr">
        <is>
          <t>Países Bajos</t>
        </is>
      </c>
      <c r="H91" s="14">
        <f>COUNTIF('Realidad Playoffs'!A:A,Puntajes!G91)</f>
        <v/>
      </c>
      <c r="I91" s="14" t="n"/>
      <c r="J91" s="14" t="n"/>
      <c r="K91" s="15">
        <f>IF(H91&gt;0,4,0)</f>
        <v/>
      </c>
      <c r="L91" s="14" t="inlineStr">
        <is>
          <t>Japón</t>
        </is>
      </c>
      <c r="M91" s="14">
        <f>COUNTIF('Realidad Playoffs'!A:A,Puntajes!L91)</f>
        <v/>
      </c>
      <c r="N91" s="14" t="n"/>
      <c r="O91" s="14" t="n"/>
      <c r="P91" s="15">
        <f>IF(M91&gt;0,4,0)</f>
        <v/>
      </c>
    </row>
    <row r="92">
      <c r="A92" s="34" t="inlineStr">
        <is>
          <t>Dieciseisavos</t>
        </is>
      </c>
      <c r="B92" s="14" t="inlineStr">
        <is>
          <t>Ecuador</t>
        </is>
      </c>
      <c r="C92" s="14">
        <f>COUNTIF('Realidad Playoffs'!A:A,Puntajes!B92)</f>
        <v/>
      </c>
      <c r="D92" s="14" t="n"/>
      <c r="E92" s="14" t="n"/>
      <c r="F92" s="15">
        <f>IF(C92&gt;0,4,0)</f>
        <v/>
      </c>
      <c r="G92" s="14" t="inlineStr">
        <is>
          <t>Ecuador</t>
        </is>
      </c>
      <c r="H92" s="14">
        <f>COUNTIF('Realidad Playoffs'!A:A,Puntajes!G92)</f>
        <v/>
      </c>
      <c r="I92" s="14" t="n"/>
      <c r="J92" s="14" t="n"/>
      <c r="K92" s="15">
        <f>IF(H92&gt;0,4,0)</f>
        <v/>
      </c>
      <c r="L92" s="14" t="inlineStr">
        <is>
          <t>Ecuador</t>
        </is>
      </c>
      <c r="M92" s="14">
        <f>COUNTIF('Realidad Playoffs'!A:A,Puntajes!L92)</f>
        <v/>
      </c>
      <c r="N92" s="14" t="n"/>
      <c r="O92" s="14" t="n"/>
      <c r="P92" s="15">
        <f>IF(M92&gt;0,4,0)</f>
        <v/>
      </c>
    </row>
    <row r="93">
      <c r="A93" s="34" t="inlineStr">
        <is>
          <t>Dieciseisavos</t>
        </is>
      </c>
      <c r="B93" s="14" t="inlineStr">
        <is>
          <t>Noruega</t>
        </is>
      </c>
      <c r="C93" s="14">
        <f>COUNTIF('Realidad Playoffs'!A:A,Puntajes!B93)</f>
        <v/>
      </c>
      <c r="D93" s="14" t="n"/>
      <c r="E93" s="14" t="n"/>
      <c r="F93" s="15">
        <f>IF(C93&gt;0,4,0)</f>
        <v/>
      </c>
      <c r="G93" s="14" t="inlineStr">
        <is>
          <t>Noruega</t>
        </is>
      </c>
      <c r="H93" s="14">
        <f>COUNTIF('Realidad Playoffs'!A:A,Puntajes!G93)</f>
        <v/>
      </c>
      <c r="I93" s="14" t="n"/>
      <c r="J93" s="14" t="n"/>
      <c r="K93" s="15">
        <f>IF(H93&gt;0,4,0)</f>
        <v/>
      </c>
      <c r="L93" s="14" t="inlineStr">
        <is>
          <t>Noruega</t>
        </is>
      </c>
      <c r="M93" s="14">
        <f>COUNTIF('Realidad Playoffs'!A:A,Puntajes!L93)</f>
        <v/>
      </c>
      <c r="N93" s="14" t="n"/>
      <c r="O93" s="14" t="n"/>
      <c r="P93" s="15">
        <f>IF(M93&gt;0,4,0)</f>
        <v/>
      </c>
    </row>
    <row r="94">
      <c r="A94" s="34" t="inlineStr">
        <is>
          <t>Dieciseisavos</t>
        </is>
      </c>
      <c r="B94" s="14" t="inlineStr">
        <is>
          <t>México</t>
        </is>
      </c>
      <c r="C94" s="14">
        <f>COUNTIF('Realidad Playoffs'!A:A,Puntajes!B94)</f>
        <v/>
      </c>
      <c r="D94" s="14" t="n"/>
      <c r="E94" s="14" t="n"/>
      <c r="F94" s="15">
        <f>IF(C94&gt;0,4,0)</f>
        <v/>
      </c>
      <c r="G94" s="14" t="inlineStr">
        <is>
          <t>México</t>
        </is>
      </c>
      <c r="H94" s="14">
        <f>COUNTIF('Realidad Playoffs'!A:A,Puntajes!G94)</f>
        <v/>
      </c>
      <c r="I94" s="14" t="n"/>
      <c r="J94" s="14" t="n"/>
      <c r="K94" s="15">
        <f>IF(H94&gt;0,4,0)</f>
        <v/>
      </c>
      <c r="L94" s="14" t="inlineStr">
        <is>
          <t>México</t>
        </is>
      </c>
      <c r="M94" s="14">
        <f>COUNTIF('Realidad Playoffs'!A:A,Puntajes!L94)</f>
        <v/>
      </c>
      <c r="N94" s="14" t="n"/>
      <c r="O94" s="14" t="n"/>
      <c r="P94" s="15">
        <f>IF(M94&gt;0,4,0)</f>
        <v/>
      </c>
    </row>
    <row r="95">
      <c r="A95" s="34" t="inlineStr">
        <is>
          <t>Dieciseisavos</t>
        </is>
      </c>
      <c r="B95" s="14" t="inlineStr">
        <is>
          <t>Costa de Marfil</t>
        </is>
      </c>
      <c r="C95" s="14">
        <f>COUNTIF('Realidad Playoffs'!A:A,Puntajes!B95)</f>
        <v/>
      </c>
      <c r="D95" s="14" t="n"/>
      <c r="E95" s="14" t="n"/>
      <c r="F95" s="15">
        <f>IF(C95&gt;0,4,0)</f>
        <v/>
      </c>
      <c r="G95" s="14" t="inlineStr">
        <is>
          <t>Costa de Marfil</t>
        </is>
      </c>
      <c r="H95" s="14">
        <f>COUNTIF('Realidad Playoffs'!A:A,Puntajes!G95)</f>
        <v/>
      </c>
      <c r="I95" s="14" t="n"/>
      <c r="J95" s="14" t="n"/>
      <c r="K95" s="15">
        <f>IF(H95&gt;0,4,0)</f>
        <v/>
      </c>
      <c r="L95" s="14" t="inlineStr">
        <is>
          <t>Escocia</t>
        </is>
      </c>
      <c r="M95" s="14">
        <f>COUNTIF('Realidad Playoffs'!A:A,Puntajes!L95)</f>
        <v/>
      </c>
      <c r="N95" s="14" t="n"/>
      <c r="O95" s="14" t="n"/>
      <c r="P95" s="15">
        <f>IF(M95&gt;0,4,0)</f>
        <v/>
      </c>
    </row>
    <row r="96">
      <c r="A96" s="34" t="inlineStr">
        <is>
          <t>Dieciseisavos</t>
        </is>
      </c>
      <c r="B96" s="14" t="inlineStr">
        <is>
          <t>Inglaterra</t>
        </is>
      </c>
      <c r="C96" s="14">
        <f>COUNTIF('Realidad Playoffs'!A:A,Puntajes!B96)</f>
        <v/>
      </c>
      <c r="D96" s="14" t="n"/>
      <c r="E96" s="14" t="n"/>
      <c r="F96" s="15">
        <f>IF(C96&gt;0,4,0)</f>
        <v/>
      </c>
      <c r="G96" s="14" t="inlineStr">
        <is>
          <t>Inglaterra</t>
        </is>
      </c>
      <c r="H96" s="14">
        <f>COUNTIF('Realidad Playoffs'!A:A,Puntajes!G96)</f>
        <v/>
      </c>
      <c r="I96" s="14" t="n"/>
      <c r="J96" s="14" t="n"/>
      <c r="K96" s="15">
        <f>IF(H96&gt;0,4,0)</f>
        <v/>
      </c>
      <c r="L96" s="14" t="inlineStr">
        <is>
          <t>Inglaterra</t>
        </is>
      </c>
      <c r="M96" s="14">
        <f>COUNTIF('Realidad Playoffs'!A:A,Puntajes!L96)</f>
        <v/>
      </c>
      <c r="N96" s="14" t="n"/>
      <c r="O96" s="14" t="n"/>
      <c r="P96" s="15">
        <f>IF(M96&gt;0,4,0)</f>
        <v/>
      </c>
    </row>
    <row r="97">
      <c r="A97" s="34" t="inlineStr">
        <is>
          <t>Dieciseisavos</t>
        </is>
      </c>
      <c r="B97" s="14" t="inlineStr">
        <is>
          <t>RD Congo</t>
        </is>
      </c>
      <c r="C97" s="14">
        <f>COUNTIF('Realidad Playoffs'!A:A,Puntajes!B97)</f>
        <v/>
      </c>
      <c r="D97" s="14" t="n"/>
      <c r="E97" s="14" t="n"/>
      <c r="F97" s="15">
        <f>IF(C97&gt;0,4,0)</f>
        <v/>
      </c>
      <c r="G97" s="14" t="inlineStr">
        <is>
          <t>Senegal</t>
        </is>
      </c>
      <c r="H97" s="14">
        <f>COUNTIF('Realidad Playoffs'!A:A,Puntajes!G97)</f>
        <v/>
      </c>
      <c r="I97" s="14" t="n"/>
      <c r="J97" s="14" t="n"/>
      <c r="K97" s="15">
        <f>IF(H97&gt;0,4,0)</f>
        <v/>
      </c>
      <c r="L97" s="14" t="inlineStr">
        <is>
          <t>Senegal</t>
        </is>
      </c>
      <c r="M97" s="14">
        <f>COUNTIF('Realidad Playoffs'!A:A,Puntajes!L97)</f>
        <v/>
      </c>
      <c r="N97" s="14" t="n"/>
      <c r="O97" s="14" t="n"/>
      <c r="P97" s="15">
        <f>IF(M97&gt;0,4,0)</f>
        <v/>
      </c>
    </row>
    <row r="98">
      <c r="A98" s="34" t="inlineStr">
        <is>
          <t>Dieciseisavos</t>
        </is>
      </c>
      <c r="B98" s="14" t="inlineStr">
        <is>
          <t>Argentina</t>
        </is>
      </c>
      <c r="C98" s="14">
        <f>COUNTIF('Realidad Playoffs'!A:A,Puntajes!B98)</f>
        <v/>
      </c>
      <c r="D98" s="14" t="n"/>
      <c r="E98" s="14" t="n"/>
      <c r="F98" s="15">
        <f>IF(C98&gt;0,4,0)</f>
        <v/>
      </c>
      <c r="G98" s="14" t="inlineStr">
        <is>
          <t>Argentina</t>
        </is>
      </c>
      <c r="H98" s="14">
        <f>COUNTIF('Realidad Playoffs'!A:A,Puntajes!G98)</f>
        <v/>
      </c>
      <c r="I98" s="14" t="n"/>
      <c r="J98" s="14" t="n"/>
      <c r="K98" s="15">
        <f>IF(H98&gt;0,4,0)</f>
        <v/>
      </c>
      <c r="L98" s="14" t="inlineStr">
        <is>
          <t>Argentina</t>
        </is>
      </c>
      <c r="M98" s="14">
        <f>COUNTIF('Realidad Playoffs'!A:A,Puntajes!L98)</f>
        <v/>
      </c>
      <c r="N98" s="14" t="n"/>
      <c r="O98" s="14" t="n"/>
      <c r="P98" s="15">
        <f>IF(M98&gt;0,4,0)</f>
        <v/>
      </c>
    </row>
    <row r="99">
      <c r="A99" s="34" t="inlineStr">
        <is>
          <t>Dieciseisavos</t>
        </is>
      </c>
      <c r="B99" s="14" t="inlineStr">
        <is>
          <t>España</t>
        </is>
      </c>
      <c r="C99" s="14">
        <f>COUNTIF('Realidad Playoffs'!A:A,Puntajes!B99)</f>
        <v/>
      </c>
      <c r="D99" s="14" t="n"/>
      <c r="E99" s="14" t="n"/>
      <c r="F99" s="15">
        <f>IF(C99&gt;0,4,0)</f>
        <v/>
      </c>
      <c r="G99" s="14" t="inlineStr">
        <is>
          <t>Uruguay</t>
        </is>
      </c>
      <c r="H99" s="14">
        <f>COUNTIF('Realidad Playoffs'!A:A,Puntajes!G99)</f>
        <v/>
      </c>
      <c r="I99" s="14" t="n"/>
      <c r="J99" s="14" t="n"/>
      <c r="K99" s="15">
        <f>IF(H99&gt;0,4,0)</f>
        <v/>
      </c>
      <c r="L99" s="14" t="inlineStr">
        <is>
          <t>Uruguay</t>
        </is>
      </c>
      <c r="M99" s="14">
        <f>COUNTIF('Realidad Playoffs'!A:A,Puntajes!L99)</f>
        <v/>
      </c>
      <c r="N99" s="14" t="n"/>
      <c r="O99" s="14" t="n"/>
      <c r="P99" s="15">
        <f>IF(M99&gt;0,4,0)</f>
        <v/>
      </c>
    </row>
    <row r="100">
      <c r="A100" s="34" t="inlineStr">
        <is>
          <t>Dieciseisavos</t>
        </is>
      </c>
      <c r="B100" s="14" t="inlineStr">
        <is>
          <t>Estados Unidos</t>
        </is>
      </c>
      <c r="C100" s="14">
        <f>COUNTIF('Realidad Playoffs'!A:A,Puntajes!B100)</f>
        <v/>
      </c>
      <c r="D100" s="14" t="n"/>
      <c r="E100" s="14" t="n"/>
      <c r="F100" s="15">
        <f>IF(C100&gt;0,4,0)</f>
        <v/>
      </c>
      <c r="G100" s="14" t="inlineStr">
        <is>
          <t>Paraguay</t>
        </is>
      </c>
      <c r="H100" s="14">
        <f>COUNTIF('Realidad Playoffs'!A:A,Puntajes!G100)</f>
        <v/>
      </c>
      <c r="I100" s="14" t="n"/>
      <c r="J100" s="14" t="n"/>
      <c r="K100" s="15">
        <f>IF(H100&gt;0,4,0)</f>
        <v/>
      </c>
      <c r="L100" s="14" t="inlineStr">
        <is>
          <t>Paraguay</t>
        </is>
      </c>
      <c r="M100" s="14">
        <f>COUNTIF('Realidad Playoffs'!A:A,Puntajes!L100)</f>
        <v/>
      </c>
      <c r="N100" s="14" t="n"/>
      <c r="O100" s="14" t="n"/>
      <c r="P100" s="15">
        <f>IF(M100&gt;0,4,0)</f>
        <v/>
      </c>
    </row>
    <row r="101">
      <c r="A101" s="34" t="inlineStr">
        <is>
          <t>Dieciseisavos</t>
        </is>
      </c>
      <c r="B101" s="14" t="inlineStr">
        <is>
          <t>Egipto</t>
        </is>
      </c>
      <c r="C101" s="14">
        <f>COUNTIF('Realidad Playoffs'!A:A,Puntajes!B101)</f>
        <v/>
      </c>
      <c r="D101" s="14" t="n"/>
      <c r="E101" s="14" t="n"/>
      <c r="F101" s="15">
        <f>IF(C101&gt;0,4,0)</f>
        <v/>
      </c>
      <c r="G101" s="14" t="inlineStr">
        <is>
          <t>Egipto</t>
        </is>
      </c>
      <c r="H101" s="14">
        <f>COUNTIF('Realidad Playoffs'!A:A,Puntajes!G101)</f>
        <v/>
      </c>
      <c r="I101" s="14" t="n"/>
      <c r="J101" s="14" t="n"/>
      <c r="K101" s="15">
        <f>IF(H101&gt;0,4,0)</f>
        <v/>
      </c>
      <c r="L101" s="14" t="inlineStr">
        <is>
          <t>Irán</t>
        </is>
      </c>
      <c r="M101" s="14">
        <f>COUNTIF('Realidad Playoffs'!A:A,Puntajes!L101)</f>
        <v/>
      </c>
      <c r="N101" s="14" t="n"/>
      <c r="O101" s="14" t="n"/>
      <c r="P101" s="15">
        <f>IF(M101&gt;0,4,0)</f>
        <v/>
      </c>
    </row>
    <row r="102">
      <c r="A102" s="34" t="inlineStr">
        <is>
          <t>Dieciseisavos</t>
        </is>
      </c>
      <c r="B102" s="14" t="inlineStr">
        <is>
          <t>Suiza</t>
        </is>
      </c>
      <c r="C102" s="14">
        <f>COUNTIF('Realidad Playoffs'!A:A,Puntajes!B102)</f>
        <v/>
      </c>
      <c r="D102" s="14" t="n"/>
      <c r="E102" s="14" t="n"/>
      <c r="F102" s="15">
        <f>IF(C102&gt;0,4,0)</f>
        <v/>
      </c>
      <c r="G102" s="14" t="inlineStr">
        <is>
          <t>Suiza</t>
        </is>
      </c>
      <c r="H102" s="14">
        <f>COUNTIF('Realidad Playoffs'!A:A,Puntajes!G102)</f>
        <v/>
      </c>
      <c r="I102" s="14" t="n"/>
      <c r="J102" s="14" t="n"/>
      <c r="K102" s="15">
        <f>IF(H102&gt;0,4,0)</f>
        <v/>
      </c>
      <c r="L102" s="14" t="inlineStr">
        <is>
          <t>Suiza</t>
        </is>
      </c>
      <c r="M102" s="14">
        <f>COUNTIF('Realidad Playoffs'!A:A,Puntajes!L102)</f>
        <v/>
      </c>
      <c r="N102" s="14" t="n"/>
      <c r="O102" s="14" t="n"/>
      <c r="P102" s="15">
        <f>IF(M102&gt;0,4,0)</f>
        <v/>
      </c>
    </row>
    <row r="103">
      <c r="A103" s="34" t="inlineStr">
        <is>
          <t>Dieciseisavos</t>
        </is>
      </c>
      <c r="B103" s="14" t="inlineStr">
        <is>
          <t>Senegal</t>
        </is>
      </c>
      <c r="C103" s="14">
        <f>COUNTIF('Realidad Playoffs'!A:A,Puntajes!B103)</f>
        <v/>
      </c>
      <c r="D103" s="14" t="n"/>
      <c r="E103" s="14" t="n"/>
      <c r="F103" s="15">
        <f>IF(C103&gt;0,4,0)</f>
        <v/>
      </c>
      <c r="G103" s="14" t="inlineStr">
        <is>
          <t>Irán</t>
        </is>
      </c>
      <c r="H103" s="14">
        <f>COUNTIF('Realidad Playoffs'!A:A,Puntajes!G103)</f>
        <v/>
      </c>
      <c r="I103" s="14" t="n"/>
      <c r="J103" s="14" t="n"/>
      <c r="K103" s="15">
        <f>IF(H103&gt;0,4,0)</f>
        <v/>
      </c>
      <c r="L103" s="14" t="inlineStr">
        <is>
          <t>Austria</t>
        </is>
      </c>
      <c r="M103" s="14">
        <f>COUNTIF('Realidad Playoffs'!A:A,Puntajes!L103)</f>
        <v/>
      </c>
      <c r="N103" s="14" t="n"/>
      <c r="O103" s="14" t="n"/>
      <c r="P103" s="15">
        <f>IF(M103&gt;0,4,0)</f>
        <v/>
      </c>
    </row>
    <row r="104">
      <c r="A104" s="34" t="inlineStr">
        <is>
          <t>Dieciseisavos</t>
        </is>
      </c>
      <c r="B104" s="14" t="inlineStr">
        <is>
          <t>Portugal</t>
        </is>
      </c>
      <c r="C104" s="14">
        <f>COUNTIF('Realidad Playoffs'!A:A,Puntajes!B104)</f>
        <v/>
      </c>
      <c r="D104" s="14" t="n"/>
      <c r="E104" s="14" t="n"/>
      <c r="F104" s="15">
        <f>IF(C104&gt;0,4,0)</f>
        <v/>
      </c>
      <c r="G104" s="14" t="inlineStr">
        <is>
          <t>Portugal</t>
        </is>
      </c>
      <c r="H104" s="14">
        <f>COUNTIF('Realidad Playoffs'!A:A,Puntajes!G104)</f>
        <v/>
      </c>
      <c r="I104" s="14" t="n"/>
      <c r="J104" s="14" t="n"/>
      <c r="K104" s="15">
        <f>IF(H104&gt;0,4,0)</f>
        <v/>
      </c>
      <c r="L104" s="14" t="inlineStr">
        <is>
          <t>Portugal</t>
        </is>
      </c>
      <c r="M104" s="14">
        <f>COUNTIF('Realidad Playoffs'!A:A,Puntajes!L104)</f>
        <v/>
      </c>
      <c r="N104" s="14" t="n"/>
      <c r="O104" s="14" t="n"/>
      <c r="P104" s="15">
        <f>IF(M104&gt;0,4,0)</f>
        <v/>
      </c>
    </row>
    <row r="105">
      <c r="A105" s="34" t="inlineStr">
        <is>
          <t>Dieciseisavos</t>
        </is>
      </c>
      <c r="B105" s="14" t="inlineStr">
        <is>
          <t>Ghana</t>
        </is>
      </c>
      <c r="C105" s="14">
        <f>COUNTIF('Realidad Playoffs'!A:A,Puntajes!B105)</f>
        <v/>
      </c>
      <c r="D105" s="14" t="n"/>
      <c r="E105" s="14" t="n"/>
      <c r="F105" s="15">
        <f>IF(C105&gt;0,4,0)</f>
        <v/>
      </c>
      <c r="G105" s="14" t="inlineStr">
        <is>
          <t>Ghana</t>
        </is>
      </c>
      <c r="H105" s="14">
        <f>COUNTIF('Realidad Playoffs'!A:A,Puntajes!G105)</f>
        <v/>
      </c>
      <c r="I105" s="14" t="n"/>
      <c r="J105" s="14" t="n"/>
      <c r="K105" s="15">
        <f>IF(H105&gt;0,4,0)</f>
        <v/>
      </c>
      <c r="L105" s="14" t="inlineStr">
        <is>
          <t>Ghana</t>
        </is>
      </c>
      <c r="M105" s="14">
        <f>COUNTIF('Realidad Playoffs'!A:A,Puntajes!L105)</f>
        <v/>
      </c>
      <c r="N105" s="14" t="n"/>
      <c r="O105" s="14" t="n"/>
      <c r="P105" s="15">
        <f>IF(M105&gt;0,4,0)</f>
        <v/>
      </c>
    </row>
    <row r="106">
      <c r="A106" s="34" t="inlineStr">
        <is>
          <t>Octavos</t>
        </is>
      </c>
      <c r="B106" s="14" t="inlineStr">
        <is>
          <t>Alemania</t>
        </is>
      </c>
      <c r="C106" s="14">
        <f>COUNTIF('Realidad Playoffs'!B:B,Puntajes!B106)</f>
        <v/>
      </c>
      <c r="D106" s="14" t="n"/>
      <c r="E106" s="14" t="n"/>
      <c r="F106" s="15">
        <f>IF(C106&gt;0,6,0)</f>
        <v/>
      </c>
      <c r="G106" s="14" t="inlineStr">
        <is>
          <t>Alemania</t>
        </is>
      </c>
      <c r="H106" s="14">
        <f>COUNTIF('Realidad Playoffs'!B:B,Puntajes!G106)</f>
        <v/>
      </c>
      <c r="I106" s="14" t="n"/>
      <c r="J106" s="14" t="n"/>
      <c r="K106" s="15">
        <f>IF(H106&gt;0,6,0)</f>
        <v/>
      </c>
      <c r="L106" s="14" t="inlineStr">
        <is>
          <t>Alemania</t>
        </is>
      </c>
      <c r="M106" s="14">
        <f>COUNTIF('Realidad Playoffs'!B:B,Puntajes!L106)</f>
        <v/>
      </c>
      <c r="N106" s="14" t="n"/>
      <c r="O106" s="14" t="n"/>
      <c r="P106" s="15">
        <f>IF(M106&gt;0,6,0)</f>
        <v/>
      </c>
    </row>
    <row r="107">
      <c r="A107" s="34" t="inlineStr">
        <is>
          <t>Octavos</t>
        </is>
      </c>
      <c r="B107" s="14" t="inlineStr">
        <is>
          <t>Francia</t>
        </is>
      </c>
      <c r="C107" s="14">
        <f>COUNTIF('Realidad Playoffs'!B:B,Puntajes!B107)</f>
        <v/>
      </c>
      <c r="D107" s="14" t="n"/>
      <c r="E107" s="14" t="n"/>
      <c r="F107" s="15">
        <f>IF(C107&gt;0,6,0)</f>
        <v/>
      </c>
      <c r="G107" s="14" t="inlineStr">
        <is>
          <t>Francia</t>
        </is>
      </c>
      <c r="H107" s="14">
        <f>COUNTIF('Realidad Playoffs'!B:B,Puntajes!G107)</f>
        <v/>
      </c>
      <c r="I107" s="14" t="n"/>
      <c r="J107" s="14" t="n"/>
      <c r="K107" s="15">
        <f>IF(H107&gt;0,6,0)</f>
        <v/>
      </c>
      <c r="L107" s="14" t="inlineStr">
        <is>
          <t>Francia</t>
        </is>
      </c>
      <c r="M107" s="14">
        <f>COUNTIF('Realidad Playoffs'!B:B,Puntajes!L107)</f>
        <v/>
      </c>
      <c r="N107" s="14" t="n"/>
      <c r="O107" s="14" t="n"/>
      <c r="P107" s="15">
        <f>IF(M107&gt;0,6,0)</f>
        <v/>
      </c>
    </row>
    <row r="108">
      <c r="A108" s="34" t="inlineStr">
        <is>
          <t>Octavos</t>
        </is>
      </c>
      <c r="B108" s="14" t="inlineStr">
        <is>
          <t>Canadá</t>
        </is>
      </c>
      <c r="C108" s="14">
        <f>COUNTIF('Realidad Playoffs'!B:B,Puntajes!B108)</f>
        <v/>
      </c>
      <c r="D108" s="14" t="n"/>
      <c r="E108" s="14" t="n"/>
      <c r="F108" s="15">
        <f>IF(C108&gt;0,6,0)</f>
        <v/>
      </c>
      <c r="G108" s="14" t="inlineStr">
        <is>
          <t>Canadá</t>
        </is>
      </c>
      <c r="H108" s="14">
        <f>COUNTIF('Realidad Playoffs'!B:B,Puntajes!G108)</f>
        <v/>
      </c>
      <c r="I108" s="14" t="n"/>
      <c r="J108" s="14" t="n"/>
      <c r="K108" s="15">
        <f>IF(H108&gt;0,6,0)</f>
        <v/>
      </c>
      <c r="L108" s="14" t="inlineStr">
        <is>
          <t>Corea del Sur</t>
        </is>
      </c>
      <c r="M108" s="14">
        <f>COUNTIF('Realidad Playoffs'!B:B,Puntajes!L108)</f>
        <v/>
      </c>
      <c r="N108" s="14" t="n"/>
      <c r="O108" s="14" t="n"/>
      <c r="P108" s="15">
        <f>IF(M108&gt;0,6,0)</f>
        <v/>
      </c>
    </row>
    <row r="109">
      <c r="A109" s="34" t="inlineStr">
        <is>
          <t>Octavos</t>
        </is>
      </c>
      <c r="B109" s="14" t="inlineStr">
        <is>
          <t>Países Bajos</t>
        </is>
      </c>
      <c r="C109" s="14">
        <f>COUNTIF('Realidad Playoffs'!B:B,Puntajes!B109)</f>
        <v/>
      </c>
      <c r="D109" s="14" t="n"/>
      <c r="E109" s="14" t="n"/>
      <c r="F109" s="15">
        <f>IF(C109&gt;0,6,0)</f>
        <v/>
      </c>
      <c r="G109" s="14" t="inlineStr">
        <is>
          <t>Japón</t>
        </is>
      </c>
      <c r="H109" s="14">
        <f>COUNTIF('Realidad Playoffs'!B:B,Puntajes!G109)</f>
        <v/>
      </c>
      <c r="I109" s="14" t="n"/>
      <c r="J109" s="14" t="n"/>
      <c r="K109" s="15">
        <f>IF(H109&gt;0,6,0)</f>
        <v/>
      </c>
      <c r="L109" s="14" t="inlineStr">
        <is>
          <t>Países Bajos</t>
        </is>
      </c>
      <c r="M109" s="14">
        <f>COUNTIF('Realidad Playoffs'!B:B,Puntajes!L109)</f>
        <v/>
      </c>
      <c r="N109" s="14" t="n"/>
      <c r="O109" s="14" t="n"/>
      <c r="P109" s="15">
        <f>IF(M109&gt;0,6,0)</f>
        <v/>
      </c>
    </row>
    <row r="110">
      <c r="A110" s="34" t="inlineStr">
        <is>
          <t>Octavos</t>
        </is>
      </c>
      <c r="B110" s="14" t="inlineStr">
        <is>
          <t>Colombia</t>
        </is>
      </c>
      <c r="C110" s="14">
        <f>COUNTIF('Realidad Playoffs'!B:B,Puntajes!B110)</f>
        <v/>
      </c>
      <c r="D110" s="14" t="n"/>
      <c r="E110" s="14" t="n"/>
      <c r="F110" s="15">
        <f>IF(C110&gt;0,6,0)</f>
        <v/>
      </c>
      <c r="G110" s="14" t="inlineStr">
        <is>
          <t>Colombia</t>
        </is>
      </c>
      <c r="H110" s="14">
        <f>COUNTIF('Realidad Playoffs'!B:B,Puntajes!G110)</f>
        <v/>
      </c>
      <c r="I110" s="14" t="n"/>
      <c r="J110" s="14" t="n"/>
      <c r="K110" s="15">
        <f>IF(H110&gt;0,6,0)</f>
        <v/>
      </c>
      <c r="L110" s="14" t="inlineStr">
        <is>
          <t>Croacia</t>
        </is>
      </c>
      <c r="M110" s="14">
        <f>COUNTIF('Realidad Playoffs'!B:B,Puntajes!L110)</f>
        <v/>
      </c>
      <c r="N110" s="14" t="n"/>
      <c r="O110" s="14" t="n"/>
      <c r="P110" s="15">
        <f>IF(M110&gt;0,6,0)</f>
        <v/>
      </c>
    </row>
    <row r="111">
      <c r="A111" s="34" t="inlineStr">
        <is>
          <t>Octavos</t>
        </is>
      </c>
      <c r="B111" s="14" t="inlineStr">
        <is>
          <t>Uruguay</t>
        </is>
      </c>
      <c r="C111" s="14">
        <f>COUNTIF('Realidad Playoffs'!B:B,Puntajes!B111)</f>
        <v/>
      </c>
      <c r="D111" s="14" t="n"/>
      <c r="E111" s="14" t="n"/>
      <c r="F111" s="15">
        <f>IF(C111&gt;0,6,0)</f>
        <v/>
      </c>
      <c r="G111" s="14" t="inlineStr">
        <is>
          <t>España</t>
        </is>
      </c>
      <c r="H111" s="14">
        <f>COUNTIF('Realidad Playoffs'!B:B,Puntajes!G111)</f>
        <v/>
      </c>
      <c r="I111" s="14" t="n"/>
      <c r="J111" s="14" t="n"/>
      <c r="K111" s="15">
        <f>IF(H111&gt;0,6,0)</f>
        <v/>
      </c>
      <c r="L111" s="14" t="inlineStr">
        <is>
          <t>España</t>
        </is>
      </c>
      <c r="M111" s="14">
        <f>COUNTIF('Realidad Playoffs'!B:B,Puntajes!L111)</f>
        <v/>
      </c>
      <c r="N111" s="14" t="n"/>
      <c r="O111" s="14" t="n"/>
      <c r="P111" s="15">
        <f>IF(M111&gt;0,6,0)</f>
        <v/>
      </c>
    </row>
    <row r="112">
      <c r="A112" s="34" t="inlineStr">
        <is>
          <t>Octavos</t>
        </is>
      </c>
      <c r="B112" s="14" t="inlineStr">
        <is>
          <t>Turquía</t>
        </is>
      </c>
      <c r="C112" s="14">
        <f>COUNTIF('Realidad Playoffs'!B:B,Puntajes!B112)</f>
        <v/>
      </c>
      <c r="D112" s="14" t="n"/>
      <c r="E112" s="14" t="n"/>
      <c r="F112" s="15">
        <f>IF(C112&gt;0,6,0)</f>
        <v/>
      </c>
      <c r="G112" s="14" t="inlineStr">
        <is>
          <t>Turquía</t>
        </is>
      </c>
      <c r="H112" s="14">
        <f>COUNTIF('Realidad Playoffs'!B:B,Puntajes!G112)</f>
        <v/>
      </c>
      <c r="I112" s="14" t="n"/>
      <c r="J112" s="14" t="n"/>
      <c r="K112" s="15">
        <f>IF(H112&gt;0,6,0)</f>
        <v/>
      </c>
      <c r="L112" s="14" t="inlineStr">
        <is>
          <t>Turquía</t>
        </is>
      </c>
      <c r="M112" s="14">
        <f>COUNTIF('Realidad Playoffs'!B:B,Puntajes!L112)</f>
        <v/>
      </c>
      <c r="N112" s="14" t="n"/>
      <c r="O112" s="14" t="n"/>
      <c r="P112" s="15">
        <f>IF(M112&gt;0,6,0)</f>
        <v/>
      </c>
    </row>
    <row r="113">
      <c r="A113" s="34" t="inlineStr">
        <is>
          <t>Octavos</t>
        </is>
      </c>
      <c r="B113" s="14" t="inlineStr">
        <is>
          <t>Bélgica</t>
        </is>
      </c>
      <c r="C113" s="14">
        <f>COUNTIF('Realidad Playoffs'!B:B,Puntajes!B113)</f>
        <v/>
      </c>
      <c r="D113" s="14" t="n"/>
      <c r="E113" s="14" t="n"/>
      <c r="F113" s="15">
        <f>IF(C113&gt;0,6,0)</f>
        <v/>
      </c>
      <c r="G113" s="14" t="inlineStr">
        <is>
          <t>Bélgica</t>
        </is>
      </c>
      <c r="H113" s="14">
        <f>COUNTIF('Realidad Playoffs'!B:B,Puntajes!G113)</f>
        <v/>
      </c>
      <c r="I113" s="14" t="n"/>
      <c r="J113" s="14" t="n"/>
      <c r="K113" s="15">
        <f>IF(H113&gt;0,6,0)</f>
        <v/>
      </c>
      <c r="L113" s="14" t="inlineStr">
        <is>
          <t>Bélgica</t>
        </is>
      </c>
      <c r="M113" s="14">
        <f>COUNTIF('Realidad Playoffs'!B:B,Puntajes!L113)</f>
        <v/>
      </c>
      <c r="N113" s="14" t="n"/>
      <c r="O113" s="14" t="n"/>
      <c r="P113" s="15">
        <f>IF(M113&gt;0,6,0)</f>
        <v/>
      </c>
    </row>
    <row r="114">
      <c r="A114" s="34" t="inlineStr">
        <is>
          <t>Octavos</t>
        </is>
      </c>
      <c r="B114" s="14" t="inlineStr">
        <is>
          <t>Brasil</t>
        </is>
      </c>
      <c r="C114" s="14">
        <f>COUNTIF('Realidad Playoffs'!B:B,Puntajes!B114)</f>
        <v/>
      </c>
      <c r="D114" s="14" t="n"/>
      <c r="E114" s="14" t="n"/>
      <c r="F114" s="15">
        <f>IF(C114&gt;0,6,0)</f>
        <v/>
      </c>
      <c r="G114" s="14" t="inlineStr">
        <is>
          <t>Brasil</t>
        </is>
      </c>
      <c r="H114" s="14">
        <f>COUNTIF('Realidad Playoffs'!B:B,Puntajes!G114)</f>
        <v/>
      </c>
      <c r="I114" s="14" t="n"/>
      <c r="J114" s="14" t="n"/>
      <c r="K114" s="15">
        <f>IF(H114&gt;0,6,0)</f>
        <v/>
      </c>
      <c r="L114" s="14" t="inlineStr">
        <is>
          <t>Japón</t>
        </is>
      </c>
      <c r="M114" s="14">
        <f>COUNTIF('Realidad Playoffs'!B:B,Puntajes!L114)</f>
        <v/>
      </c>
      <c r="N114" s="14" t="n"/>
      <c r="O114" s="14" t="n"/>
      <c r="P114" s="15">
        <f>IF(M114&gt;0,6,0)</f>
        <v/>
      </c>
    </row>
    <row r="115">
      <c r="A115" s="34" t="inlineStr">
        <is>
          <t>Octavos</t>
        </is>
      </c>
      <c r="B115" s="14" t="inlineStr">
        <is>
          <t>Ecuador</t>
        </is>
      </c>
      <c r="C115" s="14">
        <f>COUNTIF('Realidad Playoffs'!B:B,Puntajes!B115)</f>
        <v/>
      </c>
      <c r="D115" s="14" t="n"/>
      <c r="E115" s="14" t="n"/>
      <c r="F115" s="15">
        <f>IF(C115&gt;0,6,0)</f>
        <v/>
      </c>
      <c r="G115" s="14" t="inlineStr">
        <is>
          <t>Noruega</t>
        </is>
      </c>
      <c r="H115" s="14">
        <f>COUNTIF('Realidad Playoffs'!B:B,Puntajes!G115)</f>
        <v/>
      </c>
      <c r="I115" s="14" t="n"/>
      <c r="J115" s="14" t="n"/>
      <c r="K115" s="15">
        <f>IF(H115&gt;0,6,0)</f>
        <v/>
      </c>
      <c r="L115" s="14" t="inlineStr">
        <is>
          <t>Noruega</t>
        </is>
      </c>
      <c r="M115" s="14">
        <f>COUNTIF('Realidad Playoffs'!B:B,Puntajes!L115)</f>
        <v/>
      </c>
      <c r="N115" s="14" t="n"/>
      <c r="O115" s="14" t="n"/>
      <c r="P115" s="15">
        <f>IF(M115&gt;0,6,0)</f>
        <v/>
      </c>
    </row>
    <row r="116">
      <c r="A116" s="34" t="inlineStr">
        <is>
          <t>Octavos</t>
        </is>
      </c>
      <c r="B116" s="14" t="inlineStr">
        <is>
          <t>México</t>
        </is>
      </c>
      <c r="C116" s="14">
        <f>COUNTIF('Realidad Playoffs'!B:B,Puntajes!B116)</f>
        <v/>
      </c>
      <c r="D116" s="14" t="n"/>
      <c r="E116" s="14" t="n"/>
      <c r="F116" s="15">
        <f>IF(C116&gt;0,6,0)</f>
        <v/>
      </c>
      <c r="G116" s="14" t="inlineStr">
        <is>
          <t>México</t>
        </is>
      </c>
      <c r="H116" s="14">
        <f>COUNTIF('Realidad Playoffs'!B:B,Puntajes!G116)</f>
        <v/>
      </c>
      <c r="I116" s="14" t="n"/>
      <c r="J116" s="14" t="n"/>
      <c r="K116" s="15">
        <f>IF(H116&gt;0,6,0)</f>
        <v/>
      </c>
      <c r="L116" s="14" t="inlineStr">
        <is>
          <t>México</t>
        </is>
      </c>
      <c r="M116" s="14">
        <f>COUNTIF('Realidad Playoffs'!B:B,Puntajes!L116)</f>
        <v/>
      </c>
      <c r="N116" s="14" t="n"/>
      <c r="O116" s="14" t="n"/>
      <c r="P116" s="15">
        <f>IF(M116&gt;0,6,0)</f>
        <v/>
      </c>
    </row>
    <row r="117">
      <c r="A117" s="34" t="inlineStr">
        <is>
          <t>Octavos</t>
        </is>
      </c>
      <c r="B117" s="14" t="inlineStr">
        <is>
          <t>Inglaterra</t>
        </is>
      </c>
      <c r="C117" s="14">
        <f>COUNTIF('Realidad Playoffs'!B:B,Puntajes!B117)</f>
        <v/>
      </c>
      <c r="D117" s="14" t="n"/>
      <c r="E117" s="14" t="n"/>
      <c r="F117" s="15">
        <f>IF(C117&gt;0,6,0)</f>
        <v/>
      </c>
      <c r="G117" s="14" t="inlineStr">
        <is>
          <t>Inglaterra</t>
        </is>
      </c>
      <c r="H117" s="14">
        <f>COUNTIF('Realidad Playoffs'!B:B,Puntajes!G117)</f>
        <v/>
      </c>
      <c r="I117" s="14" t="n"/>
      <c r="J117" s="14" t="n"/>
      <c r="K117" s="15">
        <f>IF(H117&gt;0,6,0)</f>
        <v/>
      </c>
      <c r="L117" s="14" t="inlineStr">
        <is>
          <t>Inglaterra</t>
        </is>
      </c>
      <c r="M117" s="14">
        <f>COUNTIF('Realidad Playoffs'!B:B,Puntajes!L117)</f>
        <v/>
      </c>
      <c r="N117" s="14" t="n"/>
      <c r="O117" s="14" t="n"/>
      <c r="P117" s="15">
        <f>IF(M117&gt;0,6,0)</f>
        <v/>
      </c>
    </row>
    <row r="118">
      <c r="A118" s="34" t="inlineStr">
        <is>
          <t>Octavos</t>
        </is>
      </c>
      <c r="B118" s="14" t="inlineStr">
        <is>
          <t>España</t>
        </is>
      </c>
      <c r="C118" s="14">
        <f>COUNTIF('Realidad Playoffs'!B:B,Puntajes!B118)</f>
        <v/>
      </c>
      <c r="D118" s="14" t="n"/>
      <c r="E118" s="14" t="n"/>
      <c r="F118" s="15">
        <f>IF(C118&gt;0,6,0)</f>
        <v/>
      </c>
      <c r="G118" s="14" t="inlineStr">
        <is>
          <t>Argentina</t>
        </is>
      </c>
      <c r="H118" s="14">
        <f>COUNTIF('Realidad Playoffs'!B:B,Puntajes!G118)</f>
        <v/>
      </c>
      <c r="I118" s="14" t="n"/>
      <c r="J118" s="14" t="n"/>
      <c r="K118" s="15">
        <f>IF(H118&gt;0,6,0)</f>
        <v/>
      </c>
      <c r="L118" s="14" t="inlineStr">
        <is>
          <t>Argentina</t>
        </is>
      </c>
      <c r="M118" s="14">
        <f>COUNTIF('Realidad Playoffs'!B:B,Puntajes!L118)</f>
        <v/>
      </c>
      <c r="N118" s="14" t="n"/>
      <c r="O118" s="14" t="n"/>
      <c r="P118" s="15">
        <f>IF(M118&gt;0,6,0)</f>
        <v/>
      </c>
    </row>
    <row r="119">
      <c r="A119" s="34" t="inlineStr">
        <is>
          <t>Octavos</t>
        </is>
      </c>
      <c r="B119" s="14" t="inlineStr">
        <is>
          <t>Estados Unidos</t>
        </is>
      </c>
      <c r="C119" s="14">
        <f>COUNTIF('Realidad Playoffs'!B:B,Puntajes!B119)</f>
        <v/>
      </c>
      <c r="D119" s="14" t="n"/>
      <c r="E119" s="14" t="n"/>
      <c r="F119" s="15">
        <f>IF(C119&gt;0,6,0)</f>
        <v/>
      </c>
      <c r="G119" s="14" t="inlineStr">
        <is>
          <t>Paraguay</t>
        </is>
      </c>
      <c r="H119" s="14">
        <f>COUNTIF('Realidad Playoffs'!B:B,Puntajes!G119)</f>
        <v/>
      </c>
      <c r="I119" s="14" t="n"/>
      <c r="J119" s="14" t="n"/>
      <c r="K119" s="15">
        <f>IF(H119&gt;0,6,0)</f>
        <v/>
      </c>
      <c r="L119" s="14" t="inlineStr">
        <is>
          <t>Paraguay</t>
        </is>
      </c>
      <c r="M119" s="14">
        <f>COUNTIF('Realidad Playoffs'!B:B,Puntajes!L119)</f>
        <v/>
      </c>
      <c r="N119" s="14" t="n"/>
      <c r="O119" s="14" t="n"/>
      <c r="P119" s="15">
        <f>IF(M119&gt;0,6,0)</f>
        <v/>
      </c>
    </row>
    <row r="120">
      <c r="A120" s="34" t="inlineStr">
        <is>
          <t>Octavos</t>
        </is>
      </c>
      <c r="B120" s="14" t="inlineStr">
        <is>
          <t>Suiza</t>
        </is>
      </c>
      <c r="C120" s="14">
        <f>COUNTIF('Realidad Playoffs'!B:B,Puntajes!B120)</f>
        <v/>
      </c>
      <c r="D120" s="14" t="n"/>
      <c r="E120" s="14" t="n"/>
      <c r="F120" s="15">
        <f>IF(C120&gt;0,6,0)</f>
        <v/>
      </c>
      <c r="G120" s="14" t="inlineStr">
        <is>
          <t>Suiza</t>
        </is>
      </c>
      <c r="H120" s="14">
        <f>COUNTIF('Realidad Playoffs'!B:B,Puntajes!G120)</f>
        <v/>
      </c>
      <c r="I120" s="14" t="n"/>
      <c r="J120" s="14" t="n"/>
      <c r="K120" s="15">
        <f>IF(H120&gt;0,6,0)</f>
        <v/>
      </c>
      <c r="L120" s="14" t="inlineStr">
        <is>
          <t>Suiza</t>
        </is>
      </c>
      <c r="M120" s="14">
        <f>COUNTIF('Realidad Playoffs'!B:B,Puntajes!L120)</f>
        <v/>
      </c>
      <c r="N120" s="14" t="n"/>
      <c r="O120" s="14" t="n"/>
      <c r="P120" s="15">
        <f>IF(M120&gt;0,6,0)</f>
        <v/>
      </c>
    </row>
    <row r="121">
      <c r="A121" s="34" t="inlineStr">
        <is>
          <t>Octavos</t>
        </is>
      </c>
      <c r="B121" s="14" t="inlineStr">
        <is>
          <t>Portugal</t>
        </is>
      </c>
      <c r="C121" s="14">
        <f>COUNTIF('Realidad Playoffs'!B:B,Puntajes!B121)</f>
        <v/>
      </c>
      <c r="D121" s="14" t="n"/>
      <c r="E121" s="14" t="n"/>
      <c r="F121" s="15">
        <f>IF(C121&gt;0,6,0)</f>
        <v/>
      </c>
      <c r="G121" s="14" t="inlineStr">
        <is>
          <t>Portugal</t>
        </is>
      </c>
      <c r="H121" s="14">
        <f>COUNTIF('Realidad Playoffs'!B:B,Puntajes!G121)</f>
        <v/>
      </c>
      <c r="I121" s="14" t="n"/>
      <c r="J121" s="14" t="n"/>
      <c r="K121" s="15">
        <f>IF(H121&gt;0,6,0)</f>
        <v/>
      </c>
      <c r="L121" s="14" t="inlineStr">
        <is>
          <t>Portugal</t>
        </is>
      </c>
      <c r="M121" s="14">
        <f>COUNTIF('Realidad Playoffs'!B:B,Puntajes!L121)</f>
        <v/>
      </c>
      <c r="N121" s="14" t="n"/>
      <c r="O121" s="14" t="n"/>
      <c r="P121" s="15">
        <f>IF(M121&gt;0,6,0)</f>
        <v/>
      </c>
    </row>
    <row r="122">
      <c r="A122" s="34" t="inlineStr">
        <is>
          <t>Cuartos</t>
        </is>
      </c>
      <c r="B122" s="14" t="inlineStr">
        <is>
          <t>Francia</t>
        </is>
      </c>
      <c r="C122" s="14">
        <f>COUNTIF('Realidad Playoffs'!C:C,Puntajes!B122)</f>
        <v/>
      </c>
      <c r="D122" s="14" t="n"/>
      <c r="E122" s="14" t="n"/>
      <c r="F122" s="15">
        <f>IF(C122&gt;0,8,0)</f>
        <v/>
      </c>
      <c r="G122" s="14" t="inlineStr">
        <is>
          <t>Francia</t>
        </is>
      </c>
      <c r="H122" s="14">
        <f>COUNTIF('Realidad Playoffs'!C:C,Puntajes!G122)</f>
        <v/>
      </c>
      <c r="I122" s="14" t="n"/>
      <c r="J122" s="14" t="n"/>
      <c r="K122" s="15">
        <f>IF(H122&gt;0,8,0)</f>
        <v/>
      </c>
      <c r="L122" s="14" t="inlineStr">
        <is>
          <t>Francia</t>
        </is>
      </c>
      <c r="M122" s="14">
        <f>COUNTIF('Realidad Playoffs'!C:C,Puntajes!L122)</f>
        <v/>
      </c>
      <c r="N122" s="14" t="n"/>
      <c r="O122" s="14" t="n"/>
      <c r="P122" s="15">
        <f>IF(M122&gt;0,8,0)</f>
        <v/>
      </c>
    </row>
    <row r="123">
      <c r="A123" s="34" t="inlineStr">
        <is>
          <t>Cuartos</t>
        </is>
      </c>
      <c r="B123" s="14" t="inlineStr">
        <is>
          <t>Países Bajos</t>
        </is>
      </c>
      <c r="C123" s="14">
        <f>COUNTIF('Realidad Playoffs'!C:C,Puntajes!B123)</f>
        <v/>
      </c>
      <c r="D123" s="14" t="n"/>
      <c r="E123" s="14" t="n"/>
      <c r="F123" s="15">
        <f>IF(C123&gt;0,8,0)</f>
        <v/>
      </c>
      <c r="G123" s="14" t="inlineStr">
        <is>
          <t>Japón</t>
        </is>
      </c>
      <c r="H123" s="14">
        <f>COUNTIF('Realidad Playoffs'!C:C,Puntajes!G123)</f>
        <v/>
      </c>
      <c r="I123" s="14" t="n"/>
      <c r="J123" s="14" t="n"/>
      <c r="K123" s="15">
        <f>IF(H123&gt;0,8,0)</f>
        <v/>
      </c>
      <c r="L123" s="14" t="inlineStr">
        <is>
          <t>Países Bajos</t>
        </is>
      </c>
      <c r="M123" s="14">
        <f>COUNTIF('Realidad Playoffs'!C:C,Puntajes!L123)</f>
        <v/>
      </c>
      <c r="N123" s="14" t="n"/>
      <c r="O123" s="14" t="n"/>
      <c r="P123" s="15">
        <f>IF(M123&gt;0,8,0)</f>
        <v/>
      </c>
    </row>
    <row r="124">
      <c r="A124" s="34" t="inlineStr">
        <is>
          <t>Cuartos</t>
        </is>
      </c>
      <c r="B124" s="14" t="inlineStr">
        <is>
          <t>Colombia</t>
        </is>
      </c>
      <c r="C124" s="14">
        <f>COUNTIF('Realidad Playoffs'!C:C,Puntajes!B124)</f>
        <v/>
      </c>
      <c r="D124" s="14" t="n"/>
      <c r="E124" s="14" t="n"/>
      <c r="F124" s="15">
        <f>IF(C124&gt;0,8,0)</f>
        <v/>
      </c>
      <c r="G124" s="14" t="inlineStr">
        <is>
          <t>España</t>
        </is>
      </c>
      <c r="H124" s="14">
        <f>COUNTIF('Realidad Playoffs'!C:C,Puntajes!G124)</f>
        <v/>
      </c>
      <c r="I124" s="14" t="n"/>
      <c r="J124" s="14" t="n"/>
      <c r="K124" s="15">
        <f>IF(H124&gt;0,8,0)</f>
        <v/>
      </c>
      <c r="L124" s="14" t="inlineStr">
        <is>
          <t>España</t>
        </is>
      </c>
      <c r="M124" s="14">
        <f>COUNTIF('Realidad Playoffs'!C:C,Puntajes!L124)</f>
        <v/>
      </c>
      <c r="N124" s="14" t="n"/>
      <c r="O124" s="14" t="n"/>
      <c r="P124" s="15">
        <f>IF(M124&gt;0,8,0)</f>
        <v/>
      </c>
    </row>
    <row r="125">
      <c r="A125" s="34" t="inlineStr">
        <is>
          <t>Cuartos</t>
        </is>
      </c>
      <c r="B125" s="14" t="inlineStr">
        <is>
          <t>Bélgica</t>
        </is>
      </c>
      <c r="C125" s="14">
        <f>COUNTIF('Realidad Playoffs'!C:C,Puntajes!B125)</f>
        <v/>
      </c>
      <c r="D125" s="14" t="n"/>
      <c r="E125" s="14" t="n"/>
      <c r="F125" s="15">
        <f>IF(C125&gt;0,8,0)</f>
        <v/>
      </c>
      <c r="G125" s="14" t="inlineStr">
        <is>
          <t>Bélgica</t>
        </is>
      </c>
      <c r="H125" s="14">
        <f>COUNTIF('Realidad Playoffs'!C:C,Puntajes!G125)</f>
        <v/>
      </c>
      <c r="I125" s="14" t="n"/>
      <c r="J125" s="14" t="n"/>
      <c r="K125" s="15">
        <f>IF(H125&gt;0,8,0)</f>
        <v/>
      </c>
      <c r="L125" s="14" t="inlineStr">
        <is>
          <t>Turquía</t>
        </is>
      </c>
      <c r="M125" s="14">
        <f>COUNTIF('Realidad Playoffs'!C:C,Puntajes!L125)</f>
        <v/>
      </c>
      <c r="N125" s="14" t="n"/>
      <c r="O125" s="14" t="n"/>
      <c r="P125" s="15">
        <f>IF(M125&gt;0,8,0)</f>
        <v/>
      </c>
    </row>
    <row r="126">
      <c r="A126" s="34" t="inlineStr">
        <is>
          <t>Cuartos</t>
        </is>
      </c>
      <c r="B126" s="14" t="inlineStr">
        <is>
          <t>Brasil</t>
        </is>
      </c>
      <c r="C126" s="14">
        <f>COUNTIF('Realidad Playoffs'!C:C,Puntajes!B126)</f>
        <v/>
      </c>
      <c r="D126" s="14" t="n"/>
      <c r="E126" s="14" t="n"/>
      <c r="F126" s="15">
        <f>IF(C126&gt;0,8,0)</f>
        <v/>
      </c>
      <c r="G126" s="14" t="inlineStr">
        <is>
          <t>Brasil</t>
        </is>
      </c>
      <c r="H126" s="14">
        <f>COUNTIF('Realidad Playoffs'!C:C,Puntajes!G126)</f>
        <v/>
      </c>
      <c r="I126" s="14" t="n"/>
      <c r="J126" s="14" t="n"/>
      <c r="K126" s="15">
        <f>IF(H126&gt;0,8,0)</f>
        <v/>
      </c>
      <c r="L126" s="14" t="inlineStr">
        <is>
          <t>Noruega</t>
        </is>
      </c>
      <c r="M126" s="14">
        <f>COUNTIF('Realidad Playoffs'!C:C,Puntajes!L126)</f>
        <v/>
      </c>
      <c r="N126" s="14" t="n"/>
      <c r="O126" s="14" t="n"/>
      <c r="P126" s="15">
        <f>IF(M126&gt;0,8,0)</f>
        <v/>
      </c>
    </row>
    <row r="127">
      <c r="A127" s="34" t="inlineStr">
        <is>
          <t>Cuartos</t>
        </is>
      </c>
      <c r="B127" s="14" t="inlineStr">
        <is>
          <t>Inglaterra</t>
        </is>
      </c>
      <c r="C127" s="14">
        <f>COUNTIF('Realidad Playoffs'!C:C,Puntajes!B127)</f>
        <v/>
      </c>
      <c r="D127" s="14" t="n"/>
      <c r="E127" s="14" t="n"/>
      <c r="F127" s="15">
        <f>IF(C127&gt;0,8,0)</f>
        <v/>
      </c>
      <c r="G127" s="14" t="inlineStr">
        <is>
          <t>Inglaterra</t>
        </is>
      </c>
      <c r="H127" s="14">
        <f>COUNTIF('Realidad Playoffs'!C:C,Puntajes!G127)</f>
        <v/>
      </c>
      <c r="I127" s="14" t="n"/>
      <c r="J127" s="14" t="n"/>
      <c r="K127" s="15">
        <f>IF(H127&gt;0,8,0)</f>
        <v/>
      </c>
      <c r="L127" s="14" t="inlineStr">
        <is>
          <t>Inglaterra</t>
        </is>
      </c>
      <c r="M127" s="14">
        <f>COUNTIF('Realidad Playoffs'!C:C,Puntajes!L127)</f>
        <v/>
      </c>
      <c r="N127" s="14" t="n"/>
      <c r="O127" s="14" t="n"/>
      <c r="P127" s="15">
        <f>IF(M127&gt;0,8,0)</f>
        <v/>
      </c>
    </row>
    <row r="128">
      <c r="A128" s="34" t="inlineStr">
        <is>
          <t>Cuartos</t>
        </is>
      </c>
      <c r="B128" s="14" t="inlineStr">
        <is>
          <t>España</t>
        </is>
      </c>
      <c r="C128" s="14">
        <f>COUNTIF('Realidad Playoffs'!C:C,Puntajes!B128)</f>
        <v/>
      </c>
      <c r="D128" s="14" t="n"/>
      <c r="E128" s="14" t="n"/>
      <c r="F128" s="15">
        <f>IF(C128&gt;0,8,0)</f>
        <v/>
      </c>
      <c r="G128" s="14" t="inlineStr">
        <is>
          <t>Argentina</t>
        </is>
      </c>
      <c r="H128" s="14">
        <f>COUNTIF('Realidad Playoffs'!C:C,Puntajes!G128)</f>
        <v/>
      </c>
      <c r="I128" s="14" t="n"/>
      <c r="J128" s="14" t="n"/>
      <c r="K128" s="15">
        <f>IF(H128&gt;0,8,0)</f>
        <v/>
      </c>
      <c r="L128" s="14" t="inlineStr">
        <is>
          <t>Argentina</t>
        </is>
      </c>
      <c r="M128" s="14">
        <f>COUNTIF('Realidad Playoffs'!C:C,Puntajes!L128)</f>
        <v/>
      </c>
      <c r="N128" s="14" t="n"/>
      <c r="O128" s="14" t="n"/>
      <c r="P128" s="15">
        <f>IF(M128&gt;0,8,0)</f>
        <v/>
      </c>
    </row>
    <row r="129">
      <c r="A129" s="34" t="inlineStr">
        <is>
          <t>Cuartos</t>
        </is>
      </c>
      <c r="B129" s="14" t="inlineStr">
        <is>
          <t>Portugal</t>
        </is>
      </c>
      <c r="C129" s="14">
        <f>COUNTIF('Realidad Playoffs'!C:C,Puntajes!B129)</f>
        <v/>
      </c>
      <c r="D129" s="14" t="n"/>
      <c r="E129" s="14" t="n"/>
      <c r="F129" s="15">
        <f>IF(C129&gt;0,8,0)</f>
        <v/>
      </c>
      <c r="G129" s="14" t="inlineStr">
        <is>
          <t>Portugal</t>
        </is>
      </c>
      <c r="H129" s="14">
        <f>COUNTIF('Realidad Playoffs'!C:C,Puntajes!G129)</f>
        <v/>
      </c>
      <c r="I129" s="14" t="n"/>
      <c r="J129" s="14" t="n"/>
      <c r="K129" s="15">
        <f>IF(H129&gt;0,8,0)</f>
        <v/>
      </c>
      <c r="L129" s="14" t="inlineStr">
        <is>
          <t>Portugal</t>
        </is>
      </c>
      <c r="M129" s="14">
        <f>COUNTIF('Realidad Playoffs'!C:C,Puntajes!L129)</f>
        <v/>
      </c>
      <c r="N129" s="14" t="n"/>
      <c r="O129" s="14" t="n"/>
      <c r="P129" s="15">
        <f>IF(M129&gt;0,8,0)</f>
        <v/>
      </c>
    </row>
    <row r="130">
      <c r="A130" s="34" t="inlineStr">
        <is>
          <t>Semifinal</t>
        </is>
      </c>
      <c r="B130" s="14" t="inlineStr">
        <is>
          <t>Francia</t>
        </is>
      </c>
      <c r="C130" s="14">
        <f>COUNTIF('Realidad Playoffs'!D:D,Puntajes!B130)</f>
        <v/>
      </c>
      <c r="D130" s="14" t="n"/>
      <c r="E130" s="14" t="n"/>
      <c r="F130" s="15">
        <f>IF(C130&gt;0,10,0)</f>
        <v/>
      </c>
      <c r="G130" s="14" t="inlineStr">
        <is>
          <t>Francia</t>
        </is>
      </c>
      <c r="H130" s="14">
        <f>COUNTIF('Realidad Playoffs'!D:D,Puntajes!G130)</f>
        <v/>
      </c>
      <c r="I130" s="14" t="n"/>
      <c r="J130" s="14" t="n"/>
      <c r="K130" s="15">
        <f>IF(H130&gt;0,10,0)</f>
        <v/>
      </c>
      <c r="L130" s="14" t="inlineStr">
        <is>
          <t>Francia</t>
        </is>
      </c>
      <c r="M130" s="14">
        <f>COUNTIF('Realidad Playoffs'!D:D,Puntajes!L130)</f>
        <v/>
      </c>
      <c r="N130" s="14" t="n"/>
      <c r="O130" s="14" t="n"/>
      <c r="P130" s="15">
        <f>IF(M130&gt;0,10,0)</f>
        <v/>
      </c>
    </row>
    <row r="131">
      <c r="A131" s="34" t="inlineStr">
        <is>
          <t>Semifinal</t>
        </is>
      </c>
      <c r="B131" s="14" t="inlineStr">
        <is>
          <t>Bélgica</t>
        </is>
      </c>
      <c r="C131" s="14">
        <f>COUNTIF('Realidad Playoffs'!D:D,Puntajes!B131)</f>
        <v/>
      </c>
      <c r="D131" s="14" t="n"/>
      <c r="E131" s="14" t="n"/>
      <c r="F131" s="15">
        <f>IF(C131&gt;0,10,0)</f>
        <v/>
      </c>
      <c r="G131" s="14" t="inlineStr">
        <is>
          <t>España</t>
        </is>
      </c>
      <c r="H131" s="14">
        <f>COUNTIF('Realidad Playoffs'!D:D,Puntajes!G131)</f>
        <v/>
      </c>
      <c r="I131" s="14" t="n"/>
      <c r="J131" s="14" t="n"/>
      <c r="K131" s="15">
        <f>IF(H131&gt;0,10,0)</f>
        <v/>
      </c>
      <c r="L131" s="14" t="inlineStr">
        <is>
          <t>España</t>
        </is>
      </c>
      <c r="M131" s="14">
        <f>COUNTIF('Realidad Playoffs'!D:D,Puntajes!L131)</f>
        <v/>
      </c>
      <c r="N131" s="14" t="n"/>
      <c r="O131" s="14" t="n"/>
      <c r="P131" s="15">
        <f>IF(M131&gt;0,10,0)</f>
        <v/>
      </c>
    </row>
    <row r="132">
      <c r="A132" s="34" t="inlineStr">
        <is>
          <t>Semifinal</t>
        </is>
      </c>
      <c r="B132" s="14" t="inlineStr">
        <is>
          <t>Brasil</t>
        </is>
      </c>
      <c r="C132" s="14">
        <f>COUNTIF('Realidad Playoffs'!D:D,Puntajes!B132)</f>
        <v/>
      </c>
      <c r="D132" s="14" t="n"/>
      <c r="E132" s="14" t="n"/>
      <c r="F132" s="15">
        <f>IF(C132&gt;0,10,0)</f>
        <v/>
      </c>
      <c r="G132" s="14" t="inlineStr">
        <is>
          <t>Brasil</t>
        </is>
      </c>
      <c r="H132" s="14">
        <f>COUNTIF('Realidad Playoffs'!D:D,Puntajes!G132)</f>
        <v/>
      </c>
      <c r="I132" s="14" t="n"/>
      <c r="J132" s="14" t="n"/>
      <c r="K132" s="15">
        <f>IF(H132&gt;0,10,0)</f>
        <v/>
      </c>
      <c r="L132" s="14" t="inlineStr">
        <is>
          <t>Inglaterra</t>
        </is>
      </c>
      <c r="M132" s="14">
        <f>COUNTIF('Realidad Playoffs'!D:D,Puntajes!L132)</f>
        <v/>
      </c>
      <c r="N132" s="14" t="n"/>
      <c r="O132" s="14" t="n"/>
      <c r="P132" s="15">
        <f>IF(M132&gt;0,10,0)</f>
        <v/>
      </c>
    </row>
    <row r="133">
      <c r="A133" s="34" t="inlineStr">
        <is>
          <t>Semifinal</t>
        </is>
      </c>
      <c r="B133" s="14" t="inlineStr">
        <is>
          <t>España</t>
        </is>
      </c>
      <c r="C133" s="14">
        <f>COUNTIF('Realidad Playoffs'!D:D,Puntajes!B133)</f>
        <v/>
      </c>
      <c r="D133" s="14" t="n"/>
      <c r="E133" s="14" t="n"/>
      <c r="F133" s="15">
        <f>IF(C133&gt;0,10,0)</f>
        <v/>
      </c>
      <c r="G133" s="14" t="inlineStr">
        <is>
          <t>Argentina</t>
        </is>
      </c>
      <c r="H133" s="14">
        <f>COUNTIF('Realidad Playoffs'!D:D,Puntajes!G133)</f>
        <v/>
      </c>
      <c r="I133" s="14" t="n"/>
      <c r="J133" s="14" t="n"/>
      <c r="K133" s="15">
        <f>IF(H133&gt;0,10,0)</f>
        <v/>
      </c>
      <c r="L133" s="14" t="inlineStr">
        <is>
          <t>Portugal</t>
        </is>
      </c>
      <c r="M133" s="14">
        <f>COUNTIF('Realidad Playoffs'!D:D,Puntajes!L133)</f>
        <v/>
      </c>
      <c r="N133" s="14" t="n"/>
      <c r="O133" s="14" t="n"/>
      <c r="P133" s="15">
        <f>IF(M133&gt;0,10,0)</f>
        <v/>
      </c>
    </row>
    <row r="134">
      <c r="A134" s="34" t="inlineStr">
        <is>
          <t>Tercero</t>
        </is>
      </c>
      <c r="B134" s="14" t="inlineStr">
        <is>
          <t>Brasil</t>
        </is>
      </c>
      <c r="C134" s="14">
        <f>COUNTIF('Realidad Playoffs'!E:E,Puntajes!B134)</f>
        <v/>
      </c>
      <c r="D134" s="14" t="n"/>
      <c r="E134" s="14" t="n"/>
      <c r="F134" s="15">
        <f>IF(C134&gt;0,12,0)</f>
        <v/>
      </c>
      <c r="G134" s="14" t="inlineStr">
        <is>
          <t>Francia</t>
        </is>
      </c>
      <c r="H134" s="14">
        <f>COUNTIF('Realidad Playoffs'!E:E,Puntajes!G134)</f>
        <v/>
      </c>
      <c r="I134" s="14" t="n"/>
      <c r="J134" s="14" t="n"/>
      <c r="K134" s="15">
        <f>IF(H134&gt;0,12,0)</f>
        <v/>
      </c>
      <c r="L134" s="14" t="inlineStr">
        <is>
          <t>España</t>
        </is>
      </c>
      <c r="M134" s="14">
        <f>COUNTIF('Realidad Playoffs'!E:E,Puntajes!L134)</f>
        <v/>
      </c>
      <c r="N134" s="14" t="n"/>
      <c r="O134" s="14" t="n"/>
      <c r="P134" s="15">
        <f>IF(M134&gt;0,12,0)</f>
        <v/>
      </c>
    </row>
    <row r="135">
      <c r="A135" s="34" t="inlineStr">
        <is>
          <t>Final</t>
        </is>
      </c>
      <c r="B135" s="14" t="inlineStr">
        <is>
          <t>Francia</t>
        </is>
      </c>
      <c r="C135" s="14">
        <f>COUNTIF('Realidad Playoffs'!F:F,Puntajes!B135)</f>
        <v/>
      </c>
      <c r="D135" s="14" t="n"/>
      <c r="E135" s="14" t="n"/>
      <c r="F135" s="15">
        <f>IF(C135&gt;0,15,0)</f>
        <v/>
      </c>
      <c r="G135" s="14" t="inlineStr">
        <is>
          <t>España</t>
        </is>
      </c>
      <c r="H135" s="14">
        <f>COUNTIF('Realidad Playoffs'!F:F,Puntajes!G135)</f>
        <v/>
      </c>
      <c r="I135" s="14" t="n"/>
      <c r="J135" s="14" t="n"/>
      <c r="K135" s="15">
        <f>IF(H135&gt;0,15,0)</f>
        <v/>
      </c>
      <c r="L135" s="14" t="inlineStr">
        <is>
          <t>Francia</t>
        </is>
      </c>
      <c r="M135" s="14">
        <f>COUNTIF('Realidad Playoffs'!F:F,Puntajes!L135)</f>
        <v/>
      </c>
      <c r="N135" s="14" t="n"/>
      <c r="O135" s="14" t="n"/>
      <c r="P135" s="15">
        <f>IF(M135&gt;0,15,0)</f>
        <v/>
      </c>
    </row>
    <row r="136">
      <c r="A136" s="34" t="inlineStr">
        <is>
          <t>Final</t>
        </is>
      </c>
      <c r="B136" s="14" t="inlineStr">
        <is>
          <t>España</t>
        </is>
      </c>
      <c r="C136" s="14">
        <f>COUNTIF('Realidad Playoffs'!F:F,Puntajes!B136)</f>
        <v/>
      </c>
      <c r="D136" s="14" t="n"/>
      <c r="E136" s="14" t="n"/>
      <c r="F136" s="15">
        <f>IF(C136&gt;0,15,0)</f>
        <v/>
      </c>
      <c r="G136" s="14" t="inlineStr">
        <is>
          <t>Brasil</t>
        </is>
      </c>
      <c r="H136" s="14">
        <f>COUNTIF('Realidad Playoffs'!F:F,Puntajes!G136)</f>
        <v/>
      </c>
      <c r="I136" s="14" t="n"/>
      <c r="J136" s="14" t="n"/>
      <c r="K136" s="15">
        <f>IF(H136&gt;0,15,0)</f>
        <v/>
      </c>
      <c r="L136" s="14" t="inlineStr">
        <is>
          <t>Portugal</t>
        </is>
      </c>
      <c r="M136" s="14">
        <f>COUNTIF('Realidad Playoffs'!F:F,Puntajes!L136)</f>
        <v/>
      </c>
      <c r="N136" s="14" t="n"/>
      <c r="O136" s="14" t="n"/>
      <c r="P136" s="15">
        <f>IF(M136&gt;0,15,0)</f>
        <v/>
      </c>
    </row>
    <row r="137">
      <c r="A137" s="34" t="inlineStr">
        <is>
          <t>Campeón</t>
        </is>
      </c>
      <c r="B137" s="14" t="inlineStr">
        <is>
          <t>Francia</t>
        </is>
      </c>
      <c r="C137" s="14">
        <f>COUNTIF('Realidad Playoffs'!G:G,Puntajes!B137)</f>
        <v/>
      </c>
      <c r="D137" s="14" t="n"/>
      <c r="E137" s="14" t="n"/>
      <c r="F137" s="15">
        <f>IF(C137&gt;0,20,0)</f>
        <v/>
      </c>
      <c r="G137" s="14" t="inlineStr">
        <is>
          <t>España</t>
        </is>
      </c>
      <c r="H137" s="14">
        <f>COUNTIF('Realidad Playoffs'!G:G,Puntajes!G137)</f>
        <v/>
      </c>
      <c r="I137" s="14" t="n"/>
      <c r="J137" s="14" t="n"/>
      <c r="K137" s="15">
        <f>IF(H137&gt;0,20,0)</f>
        <v/>
      </c>
      <c r="L137" s="14" t="inlineStr">
        <is>
          <t>Francia</t>
        </is>
      </c>
      <c r="M137" s="14">
        <f>COUNTIF('Realidad Playoffs'!G:G,Puntajes!L137)</f>
        <v/>
      </c>
      <c r="N137" s="14" t="n"/>
      <c r="O137" s="14" t="n"/>
      <c r="P137" s="15">
        <f>IF(M137&gt;0,20,0)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Camilo Malagón</dc:creator>
  <dcterms:created xsi:type="dcterms:W3CDTF">2026-04-03T12:10:41Z</dcterms:created>
  <dcterms:modified xsi:type="dcterms:W3CDTF">2026-07-20T00:41:02Z</dcterms:modified>
  <cp:lastModifiedBy>Oscar Felipe Marino Rincon</cp:lastModifiedBy>
</cp:coreProperties>
</file>